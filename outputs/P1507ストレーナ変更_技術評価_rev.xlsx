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考え方" sheetId="1" state="visible" r:id="rId1"/>
    <sheet xmlns:r="http://schemas.openxmlformats.org/officeDocument/2006/relationships" name="1_前提条件" sheetId="2" state="visible" r:id="rId2"/>
    <sheet xmlns:r="http://schemas.openxmlformats.org/officeDocument/2006/relationships" name="2_①ストレーナ圧損" sheetId="3" state="visible" r:id="rId3"/>
    <sheet xmlns:r="http://schemas.openxmlformats.org/officeDocument/2006/relationships" name="3_②NPSH" sheetId="4" state="visible" r:id="rId4"/>
    <sheet xmlns:r="http://schemas.openxmlformats.org/officeDocument/2006/relationships" name="4_③CV監視評価" sheetId="5" state="visible" r:id="rId5"/>
    <sheet xmlns:r="http://schemas.openxmlformats.org/officeDocument/2006/relationships" name="5_④低温起動_粘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1"/>
    </font>
    <font>
      <i val="1"/>
      <color rgb="00555555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B8B8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2" fillId="0" borderId="1" pivotButton="0" quotePrefix="0" xfId="0"/>
    <xf numFmtId="0" fontId="0" fillId="5" borderId="1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30" customWidth="1" min="3" max="3"/>
    <col width="30" customWidth="1" min="4" max="4"/>
    <col width="18" customWidth="1" min="5" max="5"/>
  </cols>
  <sheetData>
    <row r="1">
      <c r="A1" s="1" t="inlineStr">
        <is>
          <t>技術評価の考え方（圧力＝ヘッドバランス1本で説明）</t>
        </is>
      </c>
    </row>
    <row r="3">
      <c r="B3" s="2" t="inlineStr">
        <is>
          <t>全体像：すべてはポンプまわりの圧力(ヘッド)バランス。下の3式の『どこを見るか』が3つの評価。</t>
        </is>
      </c>
    </row>
    <row r="5">
      <c r="A5" s="3" t="inlineStr"/>
      <c r="B5" s="3" t="inlineStr">
        <is>
          <t>区分</t>
        </is>
      </c>
      <c r="C5" s="3" t="inlineStr">
        <is>
          <t>式</t>
        </is>
      </c>
      <c r="D5" s="3" t="inlineStr">
        <is>
          <t>補足</t>
        </is>
      </c>
    </row>
    <row r="6">
      <c r="B6" s="4" t="inlineStr">
        <is>
          <t>吸込側</t>
        </is>
      </c>
      <c r="C6" s="5" t="inlineStr">
        <is>
          <t>P_suction = P_column + ρg·H_static − ΔP_strainer − ΔP_吸込配管</t>
        </is>
      </c>
      <c r="D6" s="6" t="inlineStr">
        <is>
          <t>塔は減圧(5.7kPaA)だが静水頭~14mで正圧</t>
        </is>
      </c>
    </row>
    <row r="7">
      <c r="B7" s="4" t="inlineStr">
        <is>
          <t>ポンプ</t>
        </is>
      </c>
      <c r="C7" s="5" t="inlineStr">
        <is>
          <t>P_discharge = P_suction + ρg·H_pump(Q)</t>
        </is>
      </c>
      <c r="D7" s="6" t="inlineStr">
        <is>
          <t>性能曲線はほぼフラット(~60m, ドループ&lt;1m)</t>
        </is>
      </c>
    </row>
    <row r="8">
      <c r="B8" s="4" t="inlineStr">
        <is>
          <t>吐出側</t>
        </is>
      </c>
      <c r="C8" s="5" t="inlineStr">
        <is>
          <t>P_discharge − ΔP_cooler − ΔP_line − ΔP_CV = P_tank</t>
        </is>
      </c>
      <c r="D8" s="6" t="inlineStr">
        <is>
          <t>余ったヘッドをCV(FC-1531)が絞る</t>
        </is>
      </c>
    </row>
    <row r="10">
      <c r="B10" s="2" t="inlineStr">
        <is>
          <t>3つの評価（同じバランスの違う断面）</t>
        </is>
      </c>
    </row>
    <row r="11">
      <c r="A11" s="3" t="inlineStr"/>
      <c r="B11" s="3" t="inlineStr">
        <is>
          <t>評価</t>
        </is>
      </c>
      <c r="C11" s="3" t="inlineStr">
        <is>
          <t>見る断面</t>
        </is>
      </c>
      <c r="D11" s="3" t="inlineStr">
        <is>
          <t>式・要点</t>
        </is>
      </c>
    </row>
    <row r="12">
      <c r="B12" s="4" t="inlineStr">
        <is>
          <t>①NPSH/キャビ</t>
        </is>
      </c>
      <c r="C12" s="5" t="inlineStr">
        <is>
          <t>吸込側だけ見る</t>
        </is>
      </c>
      <c r="D12" s="5" t="inlineStr">
        <is>
          <t>NPSHa−ΔP_strainer = NPSHr で限界。ΔP_strainer=NPSHa−NPSHr=11.8m≒117kPa</t>
        </is>
      </c>
    </row>
    <row r="13">
      <c r="B13" s="4" t="inlineStr">
        <is>
          <t>②CV監視</t>
        </is>
      </c>
      <c r="C13" s="5" t="inlineStr">
        <is>
          <t>吐出側を見る</t>
        </is>
      </c>
      <c r="D13" s="5" t="inlineStr">
        <is>
          <t>Q一定→目詰まりでP_dischが下がる→ΔP_CVが同じだけ下がる→弁が開く。今ΔP_CV≒411kPa→+5%程度しか動かない</t>
        </is>
      </c>
    </row>
    <row r="14">
      <c r="B14" s="4" t="inlineStr">
        <is>
          <t>③低温起動</t>
        </is>
      </c>
      <c r="C14" s="5" t="inlineStr">
        <is>
          <t>ストレーナΔPの温度依存</t>
        </is>
      </c>
      <c r="D14" s="5" t="inlineStr">
        <is>
          <t>細目網は低Re=層流側→ΔP∝粘度μ。冷態でΔPが桁増→NPSH余力を食う</t>
        </is>
      </c>
    </row>
    <row r="17">
      <c r="B17" s="2" t="inlineStr">
        <is>
          <t>使った基本式（一般形）</t>
        </is>
      </c>
    </row>
    <row r="18">
      <c r="A18" s="3" t="inlineStr"/>
      <c r="B18" s="3" t="inlineStr">
        <is>
          <t>項目</t>
        </is>
      </c>
      <c r="C18" s="3" t="inlineStr">
        <is>
          <t>式</t>
        </is>
      </c>
    </row>
    <row r="19">
      <c r="B19" s="4" t="inlineStr">
        <is>
          <t>ストレーナ差圧(クリーン)</t>
        </is>
      </c>
      <c r="C19" s="5" t="inlineStr">
        <is>
          <t>ΔP ∝ 1/開口比²（通過流速の二乗）。 ΔP_250=ΔP_40×(α40/α250)²</t>
        </is>
      </c>
      <c r="D19" s="7" t="n"/>
      <c r="E19" s="8" t="n"/>
    </row>
    <row r="20">
      <c r="B20" s="4" t="inlineStr">
        <is>
          <t>ストレーナ差圧(低温)</t>
        </is>
      </c>
      <c r="C20" s="5" t="inlineStr">
        <is>
          <t>低Re層流域では ΔP ∝ μ·v（粘度比例）。冷態で支配的</t>
        </is>
      </c>
      <c r="D20" s="7" t="n"/>
      <c r="E20" s="8" t="n"/>
    </row>
    <row r="21">
      <c r="B21" s="4" t="inlineStr">
        <is>
          <t>NPSHa</t>
        </is>
      </c>
      <c r="C21" s="5" t="inlineStr">
        <is>
          <t>NPSHa=(P_suction,abs−P_vapor)/ρg ≈ 静水頭（塔圧≒蒸気圧で相殺）</t>
        </is>
      </c>
      <c r="D21" s="7" t="n"/>
      <c r="E21" s="8" t="n"/>
    </row>
    <row r="22">
      <c r="B22" s="4" t="inlineStr">
        <is>
          <t>制御弁(液)</t>
        </is>
      </c>
      <c r="C22" s="5" t="inlineStr">
        <is>
          <t>Q[m³/h]=0.0865·Cv·√(ΔP[kPa]/SG)  ⇔  ΔP=SG·(Q/(0.0865·Cv))²</t>
        </is>
      </c>
      <c r="D22" s="7" t="n"/>
      <c r="E22" s="8" t="n"/>
    </row>
    <row r="23">
      <c r="B23" s="4" t="inlineStr">
        <is>
          <t>弁特性(等％)</t>
        </is>
      </c>
      <c r="C23" s="5" t="inlineStr">
        <is>
          <t>Cv=Cv定格×(等％特性カーブ)。流量一定なら Cv·√ΔP=一定</t>
        </is>
      </c>
      <c r="D23" s="7" t="n"/>
      <c r="E23" s="8" t="n"/>
    </row>
  </sheetData>
  <mergeCells count="5">
    <mergeCell ref="C19:E19"/>
    <mergeCell ref="C23:E23"/>
    <mergeCell ref="C22:E22"/>
    <mergeCell ref="C21:E21"/>
    <mergeCell ref="C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40" customWidth="1" min="4" max="4"/>
  </cols>
  <sheetData>
    <row r="1">
      <c r="A1" s="1" t="inlineStr">
        <is>
          <t>前提条件（黄=入力/実績, 緑=確定値）</t>
        </is>
      </c>
    </row>
    <row r="3">
      <c r="A3" s="3" t="inlineStr">
        <is>
          <t>項目</t>
        </is>
      </c>
      <c r="B3" s="3" t="inlineStr">
        <is>
          <t>値</t>
        </is>
      </c>
      <c r="C3" s="3" t="inlineStr">
        <is>
          <t>単位</t>
        </is>
      </c>
      <c r="D3" s="3" t="inlineStr">
        <is>
          <t>出典・備考</t>
        </is>
      </c>
    </row>
    <row r="4">
      <c r="A4" s="9" t="inlineStr">
        <is>
          <t>流体</t>
        </is>
      </c>
      <c r="B4" s="10" t="inlineStr">
        <is>
          <t>製品DEG</t>
        </is>
      </c>
      <c r="C4" s="9" t="inlineStr"/>
      <c r="D4" s="11" t="inlineStr">
        <is>
          <t>C-1503塔頂留分</t>
        </is>
      </c>
    </row>
    <row r="5">
      <c r="A5" s="9" t="inlineStr">
        <is>
          <t>運転温度(吸込)</t>
        </is>
      </c>
      <c r="B5" s="10" t="inlineStr">
        <is>
          <t>158.8</t>
        </is>
      </c>
      <c r="C5" s="9" t="inlineStr">
        <is>
          <t>℃</t>
        </is>
      </c>
      <c r="D5" s="11" t="inlineStr">
        <is>
          <t>図面/実績(通常160℃)</t>
        </is>
      </c>
    </row>
    <row r="6">
      <c r="A6" s="9" t="inlineStr">
        <is>
          <t>比重 SG</t>
        </is>
      </c>
      <c r="B6" s="10" t="inlineStr">
        <is>
          <t>1.009</t>
        </is>
      </c>
      <c r="C6" s="9" t="inlineStr">
        <is>
          <t>-</t>
        </is>
      </c>
      <c r="D6" s="11" t="inlineStr">
        <is>
          <t>図面</t>
        </is>
      </c>
    </row>
    <row r="7">
      <c r="A7" s="9" t="inlineStr">
        <is>
          <t>粘度(吸込)</t>
        </is>
      </c>
      <c r="B7" s="10" t="inlineStr">
        <is>
          <t>1.05</t>
        </is>
      </c>
      <c r="C7" s="9" t="inlineStr">
        <is>
          <t>cP</t>
        </is>
      </c>
      <c r="D7" s="11" t="inlineStr">
        <is>
          <t>図面(高温=低粘度)</t>
        </is>
      </c>
    </row>
    <row r="8">
      <c r="A8" s="9" t="inlineStr">
        <is>
          <t>蒸気圧</t>
        </is>
      </c>
      <c r="B8" s="10" t="inlineStr">
        <is>
          <t>5.7</t>
        </is>
      </c>
      <c r="C8" s="9" t="inlineStr">
        <is>
          <t>kPaA</t>
        </is>
      </c>
      <c r="D8" s="11" t="inlineStr">
        <is>
          <t>塔頂PC1507実績(≒DEG蒸気圧)</t>
        </is>
      </c>
    </row>
    <row r="9">
      <c r="A9" s="9" t="inlineStr">
        <is>
          <t>ポンプ通液量(設計)</t>
        </is>
      </c>
      <c r="B9" s="10" t="inlineStr">
        <is>
          <t>4340</t>
        </is>
      </c>
      <c r="C9" s="9" t="inlineStr">
        <is>
          <t>kg/h</t>
        </is>
      </c>
      <c r="D9" s="11" t="inlineStr">
        <is>
          <t>2015PFD</t>
        </is>
      </c>
    </row>
    <row r="10">
      <c r="A10" s="9" t="inlineStr">
        <is>
          <t>FC-1531流量(現状)</t>
        </is>
      </c>
      <c r="B10" s="10" t="inlineStr">
        <is>
          <t>2.587</t>
        </is>
      </c>
      <c r="C10" s="9" t="inlineStr">
        <is>
          <t>T/H</t>
        </is>
      </c>
      <c r="D10" s="11" t="inlineStr">
        <is>
          <t>DCS実績</t>
        </is>
      </c>
    </row>
    <row r="11">
      <c r="A11" s="9" t="inlineStr">
        <is>
          <t>配管/材質</t>
        </is>
      </c>
      <c r="B11" s="10" t="inlineStr">
        <is>
          <t>2B-SUS304(ID52.5mm)</t>
        </is>
      </c>
      <c r="C11" s="9" t="inlineStr"/>
      <c r="D11" s="11" t="inlineStr">
        <is>
          <t>送出系</t>
        </is>
      </c>
    </row>
    <row r="12">
      <c r="A12" s="9" t="inlineStr">
        <is>
          <t>現行メッシュ→変更</t>
        </is>
      </c>
      <c r="B12" s="10" t="inlineStr">
        <is>
          <t>40→250</t>
        </is>
      </c>
      <c r="C12" s="9" t="inlineStr">
        <is>
          <t>mesh</t>
        </is>
      </c>
      <c r="D12" s="11" t="inlineStr">
        <is>
          <t>ろ網のみ交換</t>
        </is>
      </c>
    </row>
    <row r="13">
      <c r="A13" s="9" t="inlineStr">
        <is>
          <t>開口比 40 / 250</t>
        </is>
      </c>
      <c r="B13" s="10" t="inlineStr">
        <is>
          <t>0.36 / 0.27</t>
        </is>
      </c>
      <c r="C13" s="9" t="inlineStr">
        <is>
          <t>-</t>
        </is>
      </c>
      <c r="D13" s="11" t="inlineStr">
        <is>
          <t>実値</t>
        </is>
      </c>
    </row>
    <row r="14">
      <c r="A14" s="9" t="inlineStr">
        <is>
          <t>ポンプ NPSHa</t>
        </is>
      </c>
      <c r="B14" s="10" t="inlineStr">
        <is>
          <t>14.0</t>
        </is>
      </c>
      <c r="C14" s="9" t="inlineStr">
        <is>
          <t>m</t>
        </is>
      </c>
      <c r="D14" s="11" t="inlineStr">
        <is>
          <t>荏原試験/実績</t>
        </is>
      </c>
    </row>
    <row r="15">
      <c r="A15" s="9" t="inlineStr">
        <is>
          <t>ポンプ NPSHr</t>
        </is>
      </c>
      <c r="B15" s="10" t="inlineStr">
        <is>
          <t>2.2</t>
        </is>
      </c>
      <c r="C15" s="9" t="inlineStr">
        <is>
          <t>m</t>
        </is>
      </c>
      <c r="D15" s="11" t="inlineStr">
        <is>
          <t>荏原試験(規定9.8m³/h)</t>
        </is>
      </c>
    </row>
    <row r="16">
      <c r="A16" s="9" t="inlineStr">
        <is>
          <t>ポンプ全揚程</t>
        </is>
      </c>
      <c r="B16" s="10" t="inlineStr">
        <is>
          <t>≒60(フラット)</t>
        </is>
      </c>
      <c r="C16" s="9" t="inlineStr">
        <is>
          <t>m</t>
        </is>
      </c>
      <c r="D16" s="11" t="inlineStr">
        <is>
          <t>性能曲線(締切58.4)</t>
        </is>
      </c>
    </row>
    <row r="17">
      <c r="A17" s="9" t="inlineStr">
        <is>
          <t>FC-1531 Cv/特性</t>
        </is>
      </c>
      <c r="B17" s="10" t="inlineStr">
        <is>
          <t>14 / 等％(AGVB)</t>
        </is>
      </c>
      <c r="C17" s="9" t="inlineStr">
        <is>
          <t>-</t>
        </is>
      </c>
      <c r="D17" s="11" t="inlineStr">
        <is>
          <t>CV台帳, R=50:1(Azbil)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0" customWidth="1" min="4" max="4"/>
  </cols>
  <sheetData>
    <row r="1">
      <c r="A1" s="1" t="inlineStr">
        <is>
          <t>① ストレーナ差圧（メッシュ細目化）</t>
        </is>
      </c>
    </row>
    <row r="2">
      <c r="A2" s="12" t="inlineStr">
        <is>
          <t>考え方: 通過流速 v∝1/開口比, クリーンΔP∝v²∝1/開口比²。40メッシュ実測を基準にスケール。</t>
        </is>
      </c>
    </row>
    <row r="4">
      <c r="A4" s="3" t="inlineStr">
        <is>
          <t>項目</t>
        </is>
      </c>
      <c r="B4" s="3" t="inlineStr">
        <is>
          <t>値</t>
        </is>
      </c>
      <c r="C4" s="3" t="inlineStr">
        <is>
          <t>単位</t>
        </is>
      </c>
      <c r="D4" s="3" t="inlineStr">
        <is>
          <t>式・備考</t>
        </is>
      </c>
    </row>
    <row r="5">
      <c r="A5" s="9" t="inlineStr">
        <is>
          <t>開口比 40メッシュ</t>
        </is>
      </c>
      <c r="B5" s="10" t="inlineStr">
        <is>
          <t>0.36</t>
        </is>
      </c>
      <c r="C5" s="9" t="inlineStr">
        <is>
          <t>-</t>
        </is>
      </c>
      <c r="D5" s="11" t="inlineStr"/>
    </row>
    <row r="6">
      <c r="A6" s="9" t="inlineStr">
        <is>
          <t>開口比 250メッシュ</t>
        </is>
      </c>
      <c r="B6" s="10" t="inlineStr">
        <is>
          <t>0.27</t>
        </is>
      </c>
      <c r="C6" s="9" t="inlineStr">
        <is>
          <t>-</t>
        </is>
      </c>
      <c r="D6" s="11" t="inlineStr"/>
    </row>
    <row r="7">
      <c r="A7" s="9" t="inlineStr">
        <is>
          <t>通過流速比(40→250)</t>
        </is>
      </c>
      <c r="B7" s="9" t="inlineStr">
        <is>
          <t>1.333</t>
        </is>
      </c>
      <c r="C7" s="9" t="inlineStr">
        <is>
          <t>-</t>
        </is>
      </c>
      <c r="D7" s="11">
        <f>0.36/0.27</f>
        <v/>
      </c>
    </row>
    <row r="8">
      <c r="A8" s="9" t="inlineStr">
        <is>
          <t>差圧比(40→250)</t>
        </is>
      </c>
      <c r="B8" s="9" t="inlineStr">
        <is>
          <t>1.778</t>
        </is>
      </c>
      <c r="C8" s="9" t="inlineStr">
        <is>
          <t>-</t>
        </is>
      </c>
      <c r="D8" s="11">
        <f>1.333²</f>
        <v/>
      </c>
    </row>
    <row r="9">
      <c r="A9" s="9" t="inlineStr">
        <is>
          <t>40メッシュ ΔP(基準)</t>
        </is>
      </c>
      <c r="B9" s="9" t="inlineStr">
        <is>
          <t>2.0</t>
        </is>
      </c>
      <c r="C9" s="9" t="inlineStr">
        <is>
          <t>kPa</t>
        </is>
      </c>
      <c r="D9" s="11" t="inlineStr">
        <is>
          <t>実測1.1〜2(P&amp;ID 1.13)</t>
        </is>
      </c>
    </row>
    <row r="10">
      <c r="A10" s="9" t="inlineStr">
        <is>
          <t>250メッシュ クリーンΔP(158.8℃)</t>
        </is>
      </c>
      <c r="B10" s="13" t="inlineStr">
        <is>
          <t>3.56</t>
        </is>
      </c>
      <c r="C10" s="9" t="inlineStr">
        <is>
          <t>kPa</t>
        </is>
      </c>
      <c r="D10" s="11">
        <f>2.0×1.778 ←初期は小</f>
        <v/>
      </c>
    </row>
    <row r="13">
      <c r="A13" s="2" t="inlineStr">
        <is>
          <t>結論：初期(クリーン)差圧は数kPaオーダーで小。閉塞進行時の差圧増が論点(→②③で評価)。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2" customWidth="1" min="4" max="4"/>
  </cols>
  <sheetData>
    <row r="1">
      <c r="A1" s="1" t="inlineStr">
        <is>
          <t>② NPSH / キャビテーション限界</t>
        </is>
      </c>
    </row>
    <row r="2">
      <c r="A2" s="12" t="inlineStr">
        <is>
          <t>考え方: 吸込側だけ見る。塔圧≒蒸気圧で相殺→NPSHa≈静水頭で運転中ほぼ一定。削るのはストレーナΔPだけ。</t>
        </is>
      </c>
    </row>
    <row r="4">
      <c r="A4" s="3" t="inlineStr">
        <is>
          <t>項目</t>
        </is>
      </c>
      <c r="B4" s="3" t="inlineStr">
        <is>
          <t>値</t>
        </is>
      </c>
      <c r="C4" s="3" t="inlineStr">
        <is>
          <t>単位</t>
        </is>
      </c>
      <c r="D4" s="3" t="inlineStr">
        <is>
          <t>式・出典</t>
        </is>
      </c>
    </row>
    <row r="5">
      <c r="A5" s="9" t="inlineStr">
        <is>
          <t>NPSHa(実績)</t>
        </is>
      </c>
      <c r="B5" s="9" t="inlineStr">
        <is>
          <t>14.0</t>
        </is>
      </c>
      <c r="C5" s="9" t="inlineStr">
        <is>
          <t>m</t>
        </is>
      </c>
      <c r="D5" s="11" t="inlineStr">
        <is>
          <t>運転で一定</t>
        </is>
      </c>
    </row>
    <row r="6">
      <c r="A6" s="9" t="inlineStr">
        <is>
          <t>NPSHr(性能曲線)</t>
        </is>
      </c>
      <c r="B6" s="9" t="inlineStr">
        <is>
          <t>2.2</t>
        </is>
      </c>
      <c r="C6" s="9" t="inlineStr">
        <is>
          <t>m</t>
        </is>
      </c>
      <c r="D6" s="11" t="inlineStr">
        <is>
          <t>低流量側はさらに小</t>
        </is>
      </c>
    </row>
    <row r="7">
      <c r="A7" s="9" t="inlineStr">
        <is>
          <t>NPSH余力</t>
        </is>
      </c>
      <c r="B7" s="9" t="inlineStr">
        <is>
          <t>11.8</t>
        </is>
      </c>
      <c r="C7" s="9" t="inlineStr">
        <is>
          <t>m</t>
        </is>
      </c>
      <c r="D7" s="11">
        <f>14.0−2.2</f>
        <v/>
      </c>
    </row>
    <row r="8">
      <c r="A8" s="14" t="inlineStr">
        <is>
          <t>→ キャビ限界 ストレーナΔP</t>
        </is>
      </c>
      <c r="B8" s="13" t="inlineStr">
        <is>
          <t>117</t>
        </is>
      </c>
      <c r="C8" s="9" t="inlineStr">
        <is>
          <t>kPa</t>
        </is>
      </c>
      <c r="D8" s="11">
        <f>11.8m×ρg(1011)</f>
        <v/>
      </c>
    </row>
    <row r="9">
      <c r="A9" s="9" t="inlineStr">
        <is>
          <t>250クリーンΔP(158.8℃)</t>
        </is>
      </c>
      <c r="B9" s="9" t="inlineStr">
        <is>
          <t>3.6</t>
        </is>
      </c>
      <c r="C9" s="9" t="inlineStr">
        <is>
          <t>kPa</t>
        </is>
      </c>
      <c r="D9" s="11" t="inlineStr">
        <is>
          <t>余力の3%＝無視可</t>
        </is>
      </c>
    </row>
    <row r="10">
      <c r="A10" s="9" t="inlineStr">
        <is>
          <t>クリーン控除後 余力</t>
        </is>
      </c>
      <c r="B10" s="9" t="inlineStr">
        <is>
          <t>≒113</t>
        </is>
      </c>
      <c r="C10" s="9" t="inlineStr">
        <is>
          <t>kPa</t>
        </is>
      </c>
      <c r="D10" s="11" t="inlineStr">
        <is>
          <t>通常運転は十分安全</t>
        </is>
      </c>
    </row>
    <row r="12">
      <c r="A12" s="2" t="inlineStr">
        <is>
          <t>結論：通常運転(160℃)では支配要因でない。約85%閉塞(開口13〜17%)で初めて到達。管理は差圧直読 vs 117kPa。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44" customWidth="1" min="4" max="4"/>
  </cols>
  <sheetData>
    <row r="1">
      <c r="A1" s="1" t="inlineStr">
        <is>
          <t>③ 制御弁(FC-1531)開度は閉塞監視に使えるか</t>
        </is>
      </c>
    </row>
    <row r="2">
      <c r="A2" s="12" t="inlineStr">
        <is>
          <t>考え方: Q一定(レベル制御)。目詰まりで吐出が下がる=CV差圧が同じだけ下がる→弁が開く。動く量を見積もる。</t>
        </is>
      </c>
    </row>
    <row r="4">
      <c r="A4" s="3" t="inlineStr">
        <is>
          <t>項目</t>
        </is>
      </c>
      <c r="B4" s="3" t="inlineStr">
        <is>
          <t>値</t>
        </is>
      </c>
      <c r="C4" s="3" t="inlineStr">
        <is>
          <t>単位</t>
        </is>
      </c>
      <c r="D4" s="3" t="inlineStr">
        <is>
          <t>式・備考</t>
        </is>
      </c>
    </row>
    <row r="5">
      <c r="A5" s="9" t="inlineStr">
        <is>
          <t>FC-1531 流量Q</t>
        </is>
      </c>
      <c r="B5" s="9" t="inlineStr">
        <is>
          <t>2.33</t>
        </is>
      </c>
      <c r="C5" s="9" t="inlineStr">
        <is>
          <t>m³/h</t>
        </is>
      </c>
      <c r="D5" s="11" t="inlineStr">
        <is>
          <t>2.587T/H÷ρ1110(冷却後)</t>
        </is>
      </c>
    </row>
    <row r="6">
      <c r="A6" s="9" t="inlineStr">
        <is>
          <t>実Cv(開度30%)</t>
        </is>
      </c>
      <c r="B6" s="9" t="inlineStr">
        <is>
          <t>1.4</t>
        </is>
      </c>
      <c r="C6" s="9" t="inlineStr">
        <is>
          <t>-</t>
        </is>
      </c>
      <c r="D6" s="11" t="inlineStr">
        <is>
          <t>等％AGVB(2014実績でアンカー)</t>
        </is>
      </c>
    </row>
    <row r="7">
      <c r="A7" s="9" t="inlineStr">
        <is>
          <t>→ 現状 CV差圧 ΔPcv0</t>
        </is>
      </c>
      <c r="B7" s="13" t="inlineStr">
        <is>
          <t>411</t>
        </is>
      </c>
      <c r="C7" s="9" t="inlineStr">
        <is>
          <t>kPa</t>
        </is>
      </c>
      <c r="D7" s="11">
        <f>SG·(Q/(0.0865·Cv))²  ※実績340〜424と整合</f>
        <v/>
      </c>
    </row>
    <row r="8">
      <c r="A8" s="9" t="inlineStr">
        <is>
          <t>キャビ時(ΔPs=117) CV差圧</t>
        </is>
      </c>
      <c r="B8" s="9" t="inlineStr">
        <is>
          <t>294</t>
        </is>
      </c>
      <c r="C8" s="9" t="inlineStr">
        <is>
          <t>kPa</t>
        </is>
      </c>
      <c r="D8" s="11">
        <f>411−117</f>
        <v/>
      </c>
    </row>
    <row r="9">
      <c r="A9" s="9" t="inlineStr">
        <is>
          <t>必要Cv倍率</t>
        </is>
      </c>
      <c r="B9" s="9" t="inlineStr">
        <is>
          <t>×1.18</t>
        </is>
      </c>
      <c r="C9" s="9" t="inlineStr">
        <is>
          <t>-</t>
        </is>
      </c>
      <c r="D9" s="11">
        <f>√(411/294)</f>
        <v/>
      </c>
    </row>
    <row r="10">
      <c r="A10" s="9" t="inlineStr">
        <is>
          <t>→ 開度変化(クリーン→キャビ)</t>
        </is>
      </c>
      <c r="B10" s="13" t="inlineStr">
        <is>
          <t>+5</t>
        </is>
      </c>
      <c r="C10" s="9" t="inlineStr">
        <is>
          <t>%</t>
        </is>
      </c>
      <c r="D10" s="11" t="inlineStr">
        <is>
          <t>30→35%だけ</t>
        </is>
      </c>
    </row>
    <row r="11">
      <c r="A11" s="9" t="inlineStr">
        <is>
          <t>通常の開度変動(流量依存)</t>
        </is>
      </c>
      <c r="B11" s="9" t="inlineStr">
        <is>
          <t>±5〜10</t>
        </is>
      </c>
      <c r="C11" s="9" t="inlineStr">
        <is>
          <t>%</t>
        </is>
      </c>
      <c r="D11" s="11" t="inlineStr">
        <is>
          <t>DCS:固定流量でもσ3%</t>
        </is>
      </c>
    </row>
    <row r="13">
      <c r="A13" s="2" t="inlineStr">
        <is>
          <t>結論：CV差圧が大(411kPa)で、キャビ(117kPa)はその28%しか食わない→開度は+5%しか動かず流量変動に埋もれる。</t>
        </is>
      </c>
    </row>
    <row r="14">
      <c r="A14" s="2" t="inlineStr">
        <is>
          <t>＝FC開度は監視の主役にできない。主指標はストレーナ前後差圧の直読(vs117kPa)。FC開度は寒候期の副指標どまり。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16" customWidth="1" min="5" max="5"/>
    <col width="30" customWidth="1" min="6" max="6"/>
  </cols>
  <sheetData>
    <row r="1">
      <c r="A1" s="1" t="inlineStr">
        <is>
          <t>④ 低温起動(S/D後冷却)での運転可否 ― 粘度の影響</t>
        </is>
      </c>
    </row>
    <row r="2">
      <c r="A2" s="12" t="inlineStr">
        <is>
          <t>考え方: 細目網は低Re=層流側でΔP∝μ。冷却DEGは粘度が桁で増→ストレーナΔPがNPSH余力(117kPa)を食う。</t>
        </is>
      </c>
    </row>
    <row r="3">
      <c r="A3" s="12" t="inlineStr">
        <is>
          <t>粘度: DIPPR Andrade ln(μ[Pa·s])=-125.30+8891/T+16.143·lnT。 ΔPは同流量で粘度比例(層流・上限評価)。</t>
        </is>
      </c>
    </row>
    <row r="5">
      <c r="A5" s="3" t="inlineStr">
        <is>
          <t>温度</t>
        </is>
      </c>
      <c r="B5" s="3" t="inlineStr">
        <is>
          <t>粘度</t>
        </is>
      </c>
      <c r="C5" s="3" t="inlineStr">
        <is>
          <t>粘度比</t>
        </is>
      </c>
      <c r="D5" s="3" t="inlineStr">
        <is>
          <t>250クリーンΔP</t>
        </is>
      </c>
      <c r="E5" s="3" t="inlineStr">
        <is>
          <t>NPSH余力残</t>
        </is>
      </c>
      <c r="F5" s="3" t="inlineStr">
        <is>
          <t>判定</t>
        </is>
      </c>
    </row>
    <row r="6">
      <c r="A6" s="9" t="inlineStr">
        <is>
          <t>158.8℃(通常)</t>
        </is>
      </c>
      <c r="B6" s="10" t="inlineStr">
        <is>
          <t>1.2 cP</t>
        </is>
      </c>
      <c r="C6" s="9" t="inlineStr">
        <is>
          <t>×1.0</t>
        </is>
      </c>
      <c r="D6" s="9" t="inlineStr">
        <is>
          <t>3.6 kPa</t>
        </is>
      </c>
      <c r="E6" s="9" t="inlineStr">
        <is>
          <t>113 kPa</t>
        </is>
      </c>
      <c r="F6" s="9" t="inlineStr">
        <is>
          <t>◎ 問題なし</t>
        </is>
      </c>
    </row>
    <row r="7">
      <c r="A7" s="9" t="inlineStr">
        <is>
          <t>50℃</t>
        </is>
      </c>
      <c r="B7" s="10" t="inlineStr">
        <is>
          <t>11 cP</t>
        </is>
      </c>
      <c r="C7" s="9" t="inlineStr">
        <is>
          <t>×9.4</t>
        </is>
      </c>
      <c r="D7" s="9" t="inlineStr">
        <is>
          <t>34 kPa</t>
        </is>
      </c>
      <c r="E7" s="9" t="inlineStr">
        <is>
          <t>83 kPa</t>
        </is>
      </c>
      <c r="F7" s="9" t="inlineStr">
        <is>
          <t>○ 余力あり</t>
        </is>
      </c>
    </row>
    <row r="8">
      <c r="A8" s="9" t="inlineStr">
        <is>
          <t>30℃</t>
        </is>
      </c>
      <c r="B8" s="10" t="inlineStr">
        <is>
          <t>24 cP</t>
        </is>
      </c>
      <c r="C8" s="9" t="inlineStr">
        <is>
          <t>×20.7</t>
        </is>
      </c>
      <c r="D8" s="9" t="inlineStr">
        <is>
          <t>74 kPa</t>
        </is>
      </c>
      <c r="E8" s="9" t="inlineStr">
        <is>
          <t>43 kPa</t>
        </is>
      </c>
      <c r="F8" s="9" t="inlineStr">
        <is>
          <t>△ 余力低下</t>
        </is>
      </c>
    </row>
    <row r="9">
      <c r="A9" s="9" t="inlineStr">
        <is>
          <t>25℃</t>
        </is>
      </c>
      <c r="B9" s="10" t="inlineStr">
        <is>
          <t>30 cP</t>
        </is>
      </c>
      <c r="C9" s="9" t="inlineStr">
        <is>
          <t>×25.9</t>
        </is>
      </c>
      <c r="D9" s="9" t="inlineStr">
        <is>
          <t>92 kPa</t>
        </is>
      </c>
      <c r="E9" s="9" t="inlineStr">
        <is>
          <t>25 kPa</t>
        </is>
      </c>
      <c r="F9" s="9" t="inlineStr">
        <is>
          <t>▲ 余力僅少</t>
        </is>
      </c>
    </row>
    <row r="10">
      <c r="A10" s="9" t="inlineStr">
        <is>
          <t>20℃(大気相当)</t>
        </is>
      </c>
      <c r="B10" s="10" t="inlineStr">
        <is>
          <t>38 cP</t>
        </is>
      </c>
      <c r="C10" s="9" t="inlineStr">
        <is>
          <t>×32.7</t>
        </is>
      </c>
      <c r="D10" s="9" t="inlineStr">
        <is>
          <t>116 kPa</t>
        </is>
      </c>
      <c r="E10" s="9" t="inlineStr">
        <is>
          <t>≒1 kPa</t>
        </is>
      </c>
      <c r="F10" s="15" t="inlineStr">
        <is>
          <t>✕ クリーンでほぼキャビ</t>
        </is>
      </c>
    </row>
    <row r="12">
      <c r="A12" s="16" t="inlineStr">
        <is>
          <t>結論・判断:</t>
        </is>
      </c>
    </row>
    <row r="13">
      <c r="A13" s="17" t="inlineStr">
        <is>
          <t>・通常運転(150〜160℃)では問題なし(既存トレンドどおり)。</t>
        </is>
      </c>
    </row>
    <row r="14">
      <c r="A14" s="17" t="inlineStr">
        <is>
          <t>・S/D後に大気温度(~20〜25℃)まで冷えると、250メッシュはクリーン差圧だけでNPSH余力(117kPa)をほぼ使い切る→冷態起動でキャビ懸念。</t>
        </is>
      </c>
    </row>
    <row r="15">
      <c r="A15" s="17" t="inlineStr">
        <is>
          <t>・対策案:(a)起動前に~50℃以上へ暖機/循環してから250メッシュで通液、(b)冷態起動時のみ40メッシュ運用、(c)起動は低流量から。</t>
        </is>
      </c>
    </row>
    <row r="16">
      <c r="A16" s="17" t="inlineStr">
        <is>
          <t>・評価温度の設定:通常最低=50℃に加え、冷態最悪=20〜25℃を併記して可否を判断する(本シート)。</t>
        </is>
      </c>
    </row>
    <row r="17">
      <c r="A17" s="17" t="inlineStr">
        <is>
          <t>※層流ΔP∝μは上限側評価。起動低流量(ΔP∝v)で実差圧は緩和。実機は差圧直読で確認。</t>
        </is>
      </c>
    </row>
  </sheetData>
  <mergeCells count="6">
    <mergeCell ref="A16:F16"/>
    <mergeCell ref="A13:F13"/>
    <mergeCell ref="A14:F14"/>
    <mergeCell ref="A17:F17"/>
    <mergeCell ref="A12:F1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2026-06-18T19:38:45Z</dcterms:created>
  <dcterms:modified xmlns:dcterms="http://purl.org/dc/terms/" xmlns:xsi="http://www.w3.org/2001/XMLSchema-instance" xsi:type="dcterms:W3CDTF">2026-06-18T19:38:45Z</dcterms:modified>
</cp:coreProperties>
</file>