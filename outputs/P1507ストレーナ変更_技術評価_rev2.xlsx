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読み方" sheetId="1" state="visible" r:id="rId1"/>
    <sheet xmlns:r="http://schemas.openxmlformats.org/officeDocument/2006/relationships" name="①NPSH" sheetId="2" state="visible" r:id="rId2"/>
    <sheet xmlns:r="http://schemas.openxmlformats.org/officeDocument/2006/relationships" name="②ストレーナ差圧" sheetId="3" state="visible" r:id="rId3"/>
    <sheet xmlns:r="http://schemas.openxmlformats.org/officeDocument/2006/relationships" name="③CV監視" sheetId="4" state="visible" r:id="rId4"/>
    <sheet xmlns:r="http://schemas.openxmlformats.org/officeDocument/2006/relationships" name="④低温起動_粘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i val="1"/>
      <color rgb="00555555"/>
    </font>
    <font>
      <b val="1"/>
      <color rgb="00C00000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381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6" customWidth="1" min="3" max="3"/>
    <col width="28" customWidth="1" min="4" max="4"/>
  </cols>
  <sheetData>
    <row r="1">
      <c r="B1" s="1" t="inlineStr">
        <is>
          <t>P-1507A/B 吸入ストレーナ 40→250メッシュ 技術評価（各シート完結）</t>
        </is>
      </c>
    </row>
    <row r="3">
      <c r="B3" s="2" t="inlineStr">
        <is>
          <t>全体像：すべてポンプまわりの圧力(ヘッド)バランス。各評価はその『どの断面か』。各シートに考え方＋入力＋計算を同居させ単独で読めるようにした。</t>
        </is>
      </c>
    </row>
    <row r="5">
      <c r="A5" s="3" t="inlineStr"/>
      <c r="B5" s="3" t="inlineStr">
        <is>
          <t>評価</t>
        </is>
      </c>
      <c r="C5" s="3" t="inlineStr">
        <is>
          <t>式・要点</t>
        </is>
      </c>
      <c r="D5" s="3" t="inlineStr">
        <is>
          <t>見る断面</t>
        </is>
      </c>
    </row>
    <row r="6">
      <c r="B6" s="4" t="inlineStr">
        <is>
          <t>①NPSH/キャビ</t>
        </is>
      </c>
      <c r="C6" s="5" t="inlineStr">
        <is>
          <t>限界ΔP=NPSHa−NPSHr。117kPa＝“余裕喪失”点</t>
        </is>
      </c>
      <c r="D6" s="6" t="inlineStr">
        <is>
          <t>吸込側</t>
        </is>
      </c>
    </row>
    <row r="7">
      <c r="B7" s="4" t="inlineStr">
        <is>
          <t>②ストレーナ差圧</t>
        </is>
      </c>
      <c r="C7" s="5" t="inlineStr">
        <is>
          <t>クリーンΔP∝1/開口比²。温度依存は低Re層流でΔP∝μ→④</t>
        </is>
      </c>
      <c r="D7" s="6" t="inlineStr">
        <is>
          <t>ろ網</t>
        </is>
      </c>
    </row>
    <row r="8">
      <c r="B8" s="4" t="inlineStr">
        <is>
          <t>③CV監視</t>
        </is>
      </c>
      <c r="C8" s="5" t="inlineStr">
        <is>
          <t>Q一定→目詰まりで吐出↓=CV差圧↓→弁開。開度がどれだけ動くか</t>
        </is>
      </c>
      <c r="D8" s="6" t="inlineStr">
        <is>
          <t>吐出側</t>
        </is>
      </c>
    </row>
    <row r="9">
      <c r="B9" s="4" t="inlineStr">
        <is>
          <t>④低温起動(粘度)</t>
        </is>
      </c>
      <c r="C9" s="5" t="inlineStr">
        <is>
          <t>Aspen物性でμ(T)→ΔP(T)。冷態でNPSH余力をどこまで食うか</t>
        </is>
      </c>
      <c r="D9" s="6" t="inlineStr">
        <is>
          <t>ろ網×温度</t>
        </is>
      </c>
    </row>
    <row r="11">
      <c r="B11" s="7" t="inlineStr">
        <is>
          <t>物性は社内 Aspen物性ツール(modAspenPropData.bas / Shell EOEG datadeck)の式で算出（④に表・グラフ）。158.8℃で μ1.16cP/ρ1010/Pvp5.5kPa を検証一致。</t>
        </is>
      </c>
    </row>
  </sheetData>
  <mergeCells count="3">
    <mergeCell ref="B11:D11"/>
    <mergeCell ref="B1:D1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46" customWidth="1" min="4" max="4"/>
  </cols>
  <sheetData>
    <row r="1">
      <c r="A1" s="1" t="inlineStr">
        <is>
          <t>① NPSH / キャビテーション余裕</t>
        </is>
      </c>
    </row>
    <row r="2">
      <c r="A2" s="7" t="inlineStr">
        <is>
          <t>考え方：吸込側だけ見る。塔頂圧(5.7kPaA)≒DEG蒸気圧で相殺→NPSHa≈静水頭で運転中ほぼ一定。削るのはストレーナΔPのみ。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式・出典／注記</t>
        </is>
      </c>
    </row>
    <row r="5">
      <c r="A5" s="5" t="inlineStr">
        <is>
          <t>NPSHa（試験）</t>
        </is>
      </c>
      <c r="B5" s="8" t="inlineStr">
        <is>
          <t>14.0</t>
        </is>
      </c>
      <c r="C5" s="5" t="inlineStr">
        <is>
          <t>m</t>
        </is>
      </c>
      <c r="D5" s="6" t="inlineStr">
        <is>
          <t>荏原試験。2014水理は15.97m。保守側に14.0採用。★基準面(ストレーナΔP込みか)要確認</t>
        </is>
      </c>
    </row>
    <row r="6">
      <c r="A6" s="5" t="inlineStr">
        <is>
          <t>NPSHr（規定流量）</t>
        </is>
      </c>
      <c r="B6" s="8" t="inlineStr">
        <is>
          <t>2.2</t>
        </is>
      </c>
      <c r="C6" s="5" t="inlineStr">
        <is>
          <t>m</t>
        </is>
      </c>
      <c r="D6" s="6" t="inlineStr">
        <is>
          <t>規定9.8m³/h。★運転点2.6m³/hのNPSHr要確認(一般に低流量で小)</t>
        </is>
      </c>
    </row>
    <row r="7">
      <c r="A7" s="5" t="inlineStr">
        <is>
          <t>NPSH余力</t>
        </is>
      </c>
      <c r="B7" s="5" t="inlineStr">
        <is>
          <t>11.8</t>
        </is>
      </c>
      <c r="C7" s="5" t="inlineStr">
        <is>
          <t>m</t>
        </is>
      </c>
      <c r="D7" s="6">
        <f>14.0−2.2（安全余裕は別途、例0.5m）</f>
        <v/>
      </c>
    </row>
    <row r="8">
      <c r="A8" s="5" t="inlineStr">
        <is>
          <t>DEG密度@158.8℃</t>
        </is>
      </c>
      <c r="B8" s="5" t="inlineStr">
        <is>
          <t>1010</t>
        </is>
      </c>
      <c r="C8" s="5" t="inlineStr">
        <is>
          <t>kg/m³</t>
        </is>
      </c>
      <c r="D8" s="6" t="inlineStr">
        <is>
          <t>Aspen DNLDIP</t>
        </is>
      </c>
    </row>
    <row r="9">
      <c r="A9" s="9" t="inlineStr">
        <is>
          <t>→ 限界ストレーナΔP</t>
        </is>
      </c>
      <c r="B9" s="10" t="inlineStr">
        <is>
          <t>117</t>
        </is>
      </c>
      <c r="C9" s="5" t="inlineStr">
        <is>
          <t>kPa</t>
        </is>
      </c>
      <c r="D9" s="6">
        <f>11.8×1010×9.807。★これは“余裕喪失”点（即キャビではない）</f>
        <v/>
      </c>
    </row>
    <row r="10">
      <c r="A10" s="5" t="inlineStr">
        <is>
          <t>250クリーンΔP@158.8℃</t>
        </is>
      </c>
      <c r="B10" s="5" t="inlineStr">
        <is>
          <t>3.6</t>
        </is>
      </c>
      <c r="C10" s="5" t="inlineStr">
        <is>
          <t>kPa</t>
        </is>
      </c>
      <c r="D10" s="6" t="inlineStr">
        <is>
          <t>余力の3%＝無視可（→②）</t>
        </is>
      </c>
    </row>
    <row r="12">
      <c r="A12" s="2" t="inlineStr">
        <is>
          <t>結論：通常運転(160℃)ではNPSHは支配要因でない。約85%閉塞(開口13〜17%)でこの余裕を失う。管理＝ストレーナ差圧直読 vs 117kPa(手前で切替)。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6" customWidth="1" min="4" max="4"/>
  </cols>
  <sheetData>
    <row r="1">
      <c r="A1" s="1" t="inlineStr">
        <is>
          <t>② ストレーナ クリーン差圧（メッシュ細目化）</t>
        </is>
      </c>
    </row>
    <row r="2">
      <c r="A2" s="7" t="inlineStr">
        <is>
          <t>考え方：通過流速 v∝1/開口比、クリーンΔP∝v²∝1/開口比²。40メッシュ実測を基準にスケール。低温の温度依存は別軸(→④)。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式・備考</t>
        </is>
      </c>
    </row>
    <row r="5">
      <c r="A5" s="5" t="inlineStr">
        <is>
          <t>開口比 40メッシュ</t>
        </is>
      </c>
      <c r="B5" s="8" t="inlineStr">
        <is>
          <t>0.36</t>
        </is>
      </c>
      <c r="C5" s="5" t="inlineStr">
        <is>
          <t>-</t>
        </is>
      </c>
      <c r="D5" s="6" t="inlineStr">
        <is>
          <t>実値</t>
        </is>
      </c>
    </row>
    <row r="6">
      <c r="A6" s="5" t="inlineStr">
        <is>
          <t>開口比 250メッシュ</t>
        </is>
      </c>
      <c r="B6" s="8" t="inlineStr">
        <is>
          <t>0.27</t>
        </is>
      </c>
      <c r="C6" s="5" t="inlineStr">
        <is>
          <t>-</t>
        </is>
      </c>
      <c r="D6" s="6" t="inlineStr">
        <is>
          <t>実値</t>
        </is>
      </c>
    </row>
    <row r="7">
      <c r="A7" s="5" t="inlineStr">
        <is>
          <t>通過流速比(40→250)</t>
        </is>
      </c>
      <c r="B7" s="5" t="inlineStr">
        <is>
          <t>1.333</t>
        </is>
      </c>
      <c r="C7" s="5" t="inlineStr">
        <is>
          <t>-</t>
        </is>
      </c>
      <c r="D7" s="6">
        <f>0.36/0.27</f>
        <v/>
      </c>
    </row>
    <row r="8">
      <c r="A8" s="5" t="inlineStr">
        <is>
          <t>差圧比(40→250)</t>
        </is>
      </c>
      <c r="B8" s="5" t="inlineStr">
        <is>
          <t>1.778</t>
        </is>
      </c>
      <c r="C8" s="5" t="inlineStr">
        <is>
          <t>-</t>
        </is>
      </c>
      <c r="D8" s="6">
        <f>1.333²</f>
        <v/>
      </c>
    </row>
    <row r="9">
      <c r="A9" s="5" t="inlineStr">
        <is>
          <t>40メッシュ ΔP(基準)</t>
        </is>
      </c>
      <c r="B9" s="8" t="inlineStr">
        <is>
          <t>2.0</t>
        </is>
      </c>
      <c r="C9" s="5" t="inlineStr">
        <is>
          <t>kPa</t>
        </is>
      </c>
      <c r="D9" s="6" t="inlineStr">
        <is>
          <t>P&amp;ID実測1.13と同オーダー(保守2.0)</t>
        </is>
      </c>
    </row>
    <row r="10">
      <c r="A10" s="5" t="inlineStr">
        <is>
          <t>→ 250メッシュ クリーンΔP</t>
        </is>
      </c>
      <c r="B10" s="10" t="inlineStr">
        <is>
          <t>3.56</t>
        </is>
      </c>
      <c r="C10" s="5" t="inlineStr">
        <is>
          <t>kPa</t>
        </is>
      </c>
      <c r="D10" s="6">
        <f>2.0×1.778（@158.8℃）</f>
        <v/>
      </c>
    </row>
    <row r="12">
      <c r="A12" s="2" t="inlineStr">
        <is>
          <t>結論：初期(クリーン)差圧は数kPaで小。論点は①閉塞進行時(差圧監視で対応)と③④(下流CV・低温)。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48" customWidth="1" min="4" max="4"/>
  </cols>
  <sheetData>
    <row r="1">
      <c r="A1" s="1" t="inlineStr">
        <is>
          <t>③ 制御弁(FC-1531)開度は閉塞監視に使えるか</t>
        </is>
      </c>
    </row>
    <row r="2">
      <c r="A2" s="7" t="inlineStr">
        <is>
          <t>考え方：Q一定(レベル制御)。目詰まりで吐出が下がる＝CV差圧が同じだけ下がる→弁が開く。開度がどれだけ動くか見積もる。</t>
        </is>
      </c>
    </row>
    <row r="3">
      <c r="A3" s="7" t="inlineStr">
        <is>
          <t>弁式：Q[m³/h]=0.0865·Cv·√(ΔP[kPa]/SG)  ⇔  ΔP[kPa]=SG·(Q/(0.0865·Cv))²　（=0.865・bar系と同値。411kPaは一致）</t>
        </is>
      </c>
    </row>
    <row r="5">
      <c r="A5" s="3" t="inlineStr">
        <is>
          <t>項目</t>
        </is>
      </c>
      <c r="B5" s="3" t="inlineStr">
        <is>
          <t>値</t>
        </is>
      </c>
      <c r="C5" s="3" t="inlineStr">
        <is>
          <t>単位</t>
        </is>
      </c>
      <c r="D5" s="3" t="inlineStr">
        <is>
          <t>式・備考／注記</t>
        </is>
      </c>
    </row>
    <row r="6">
      <c r="A6" s="5" t="inlineStr">
        <is>
          <t>FC-1531 流量Q</t>
        </is>
      </c>
      <c r="B6" s="5" t="inlineStr">
        <is>
          <t>2.33</t>
        </is>
      </c>
      <c r="C6" s="5" t="inlineStr">
        <is>
          <t>m³/h</t>
        </is>
      </c>
      <c r="D6" s="6" t="inlineStr">
        <is>
          <t>2.587T/H÷ρ1110(E-1509冷却後)</t>
        </is>
      </c>
    </row>
    <row r="7">
      <c r="A7" s="5" t="inlineStr">
        <is>
          <t>実Cv（開度30%）</t>
        </is>
      </c>
      <c r="B7" s="5" t="inlineStr">
        <is>
          <t>1.4</t>
        </is>
      </c>
      <c r="C7" s="5" t="inlineStr">
        <is>
          <t>-</t>
        </is>
      </c>
      <c r="D7" s="6" t="inlineStr">
        <is>
          <t>等％AGVB。★2014実測アンカー(開度59%→実Cv2.63)の外側＝外挿。現行Cv定格(14)と30%実Cv要確認</t>
        </is>
      </c>
    </row>
    <row r="8">
      <c r="A8" s="5" t="inlineStr">
        <is>
          <t>→ 現状CV差圧 ΔPcv0</t>
        </is>
      </c>
      <c r="B8" s="10" t="inlineStr">
        <is>
          <t>411</t>
        </is>
      </c>
      <c r="C8" s="5" t="inlineStr">
        <is>
          <t>kPa</t>
        </is>
      </c>
      <c r="D8" s="6">
        <f>1.11·(2.33/(0.0865·1.4))²。2014実測340・簡易424と同オーダー。★下流圧1点実測で確定</f>
        <v/>
      </c>
    </row>
    <row r="9">
      <c r="A9" s="5" t="inlineStr">
        <is>
          <t>キャビ時(ΔPs=117)のΔPcv</t>
        </is>
      </c>
      <c r="B9" s="5" t="inlineStr">
        <is>
          <t>294</t>
        </is>
      </c>
      <c r="C9" s="5" t="inlineStr">
        <is>
          <t>kPa</t>
        </is>
      </c>
      <c r="D9" s="6">
        <f>411−117</f>
        <v/>
      </c>
    </row>
    <row r="10">
      <c r="A10" s="5" t="inlineStr">
        <is>
          <t>必要Cv倍率</t>
        </is>
      </c>
      <c r="B10" s="5" t="inlineStr">
        <is>
          <t>×1.18</t>
        </is>
      </c>
      <c r="C10" s="5" t="inlineStr">
        <is>
          <t>-</t>
        </is>
      </c>
      <c r="D10" s="6">
        <f>√(411/294)</f>
        <v/>
      </c>
    </row>
    <row r="11">
      <c r="A11" s="5" t="inlineStr">
        <is>
          <t>→ 開度変化(クリーン→余裕喪失)</t>
        </is>
      </c>
      <c r="B11" s="10" t="inlineStr">
        <is>
          <t>+5</t>
        </is>
      </c>
      <c r="C11" s="5" t="inlineStr">
        <is>
          <t>%</t>
        </is>
      </c>
      <c r="D11" s="6" t="inlineStr">
        <is>
          <t>30→35%（局所勾配3.33で換算）</t>
        </is>
      </c>
    </row>
    <row r="12">
      <c r="A12" s="5" t="inlineStr">
        <is>
          <t>通常の開度変動</t>
        </is>
      </c>
      <c r="B12" s="5" t="inlineStr">
        <is>
          <t>±5〜10</t>
        </is>
      </c>
      <c r="C12" s="5" t="inlineStr">
        <is>
          <t>%</t>
        </is>
      </c>
      <c r="D12" s="6" t="inlineStr">
        <is>
          <t>DCS:流量依存+10%/(m³/h)、固定流量σ3%</t>
        </is>
      </c>
    </row>
    <row r="14">
      <c r="A14" s="2" t="inlineStr">
        <is>
          <t>結論(頑健)：CV差圧が大(≈411kPa)で、キャビ(117kPa)はその28%しか食わない→開度は+5%しか動かず流量変動(σ3%)に埋もれる。</t>
        </is>
      </c>
    </row>
    <row r="15">
      <c r="A15" s="2" t="inlineStr">
        <is>
          <t>＝FC開度は監視の主役にできない（CV差圧が340〜500のどこでもS/N比&lt;1で結論不変）。主指標＝ストレーナ差圧直読。FC開度は副指標。</t>
        </is>
      </c>
    </row>
    <row r="16">
      <c r="A16" s="7" t="inlineStr">
        <is>
          <t>★過去4年の“目詰まりドリフト無”は40メッシュ実績。250後は常用ΔP小だが、運用で差圧直読を主に。</t>
        </is>
      </c>
    </row>
  </sheetData>
  <mergeCells count="6">
    <mergeCell ref="A1:D1"/>
    <mergeCell ref="A3:D3"/>
    <mergeCell ref="A15:D15"/>
    <mergeCell ref="A2:D2"/>
    <mergeCell ref="A16:D16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④ 低温起動(S/D後冷却DEG)：粘度の影響 ― 条件付き評価</t>
        </is>
      </c>
    </row>
    <row r="2">
      <c r="A2" s="7" t="inlineStr">
        <is>
          <t>考え方：細目網は低Re=層流側でΔP∝μ。冷却DEGは粘度が桁増→ストレーナΔPがNPSH余力(117kPa)を食う。物性はAspen物性ツールの式で算出。</t>
        </is>
      </c>
    </row>
    <row r="4">
      <c r="A4" s="3" t="inlineStr">
        <is>
          <t>温度[℃]</t>
        </is>
      </c>
      <c r="B4" s="3" t="inlineStr">
        <is>
          <t>μ[cP]</t>
        </is>
      </c>
      <c r="C4" s="3" t="inlineStr">
        <is>
          <t>ρ[kg/m³]</t>
        </is>
      </c>
      <c r="D4" s="3" t="inlineStr">
        <is>
          <t>Pvp[kPa]</t>
        </is>
      </c>
      <c r="E4" s="3" t="inlineStr">
        <is>
          <t>250クリーンΔP[kPa]</t>
        </is>
      </c>
      <c r="F4" s="3" t="inlineStr">
        <is>
          <t>NPSH余力残[kPa]</t>
        </is>
      </c>
    </row>
    <row r="5">
      <c r="A5" s="11" t="n">
        <v>158.8</v>
      </c>
      <c r="B5" s="11" t="n">
        <v>1.16</v>
      </c>
      <c r="C5" s="11" t="n">
        <v>1010</v>
      </c>
      <c r="D5" s="11" t="n">
        <v>5.499</v>
      </c>
      <c r="E5" s="11" t="n">
        <v>3.6</v>
      </c>
      <c r="F5" s="11" t="n">
        <v>113.4</v>
      </c>
    </row>
    <row r="6">
      <c r="A6" s="12" t="n">
        <v>100</v>
      </c>
      <c r="B6" s="13" t="n">
        <v>2.81</v>
      </c>
      <c r="C6" s="12" t="n">
        <v>1058</v>
      </c>
      <c r="D6" s="12" t="n">
        <v>0.298</v>
      </c>
      <c r="E6" s="12" t="n">
        <v>8.6</v>
      </c>
      <c r="F6" s="12" t="n">
        <v>108.4</v>
      </c>
    </row>
    <row r="7">
      <c r="A7" s="12" t="n">
        <v>70</v>
      </c>
      <c r="B7" s="13" t="n">
        <v>5.83</v>
      </c>
      <c r="C7" s="12" t="n">
        <v>1081</v>
      </c>
      <c r="D7" s="12" t="n">
        <v>0.043</v>
      </c>
      <c r="E7" s="12" t="n">
        <v>17.8</v>
      </c>
      <c r="F7" s="12" t="n">
        <v>99.2</v>
      </c>
    </row>
    <row r="8">
      <c r="A8" s="12" t="n">
        <v>50</v>
      </c>
      <c r="B8" s="13" t="n">
        <v>10.99</v>
      </c>
      <c r="C8" s="12" t="n">
        <v>1096</v>
      </c>
      <c r="D8" s="12" t="n">
        <v>0.01</v>
      </c>
      <c r="E8" s="12" t="n">
        <v>33.6</v>
      </c>
      <c r="F8" s="12" t="n">
        <v>83.40000000000001</v>
      </c>
    </row>
    <row r="9">
      <c r="A9" s="12" t="n">
        <v>30</v>
      </c>
      <c r="B9" s="13" t="n">
        <v>24.08</v>
      </c>
      <c r="C9" s="12" t="n">
        <v>1110</v>
      </c>
      <c r="D9" s="12" t="n">
        <v>0.002</v>
      </c>
      <c r="E9" s="12" t="n">
        <v>73.59999999999999</v>
      </c>
      <c r="F9" s="12" t="n">
        <v>43.4</v>
      </c>
    </row>
    <row r="10">
      <c r="A10" s="12" t="n">
        <v>25</v>
      </c>
      <c r="B10" s="13" t="n">
        <v>30.1</v>
      </c>
      <c r="C10" s="12" t="n">
        <v>1114</v>
      </c>
      <c r="D10" s="12" t="n">
        <v>0.001</v>
      </c>
      <c r="E10" s="12" t="n">
        <v>92.09999999999999</v>
      </c>
      <c r="F10" s="14" t="n">
        <v>24.9</v>
      </c>
    </row>
    <row r="11">
      <c r="A11" s="12" t="n">
        <v>20</v>
      </c>
      <c r="B11" s="13" t="n">
        <v>38.1</v>
      </c>
      <c r="C11" s="12" t="n">
        <v>1118</v>
      </c>
      <c r="D11" s="12" t="n">
        <v>0.001</v>
      </c>
      <c r="E11" s="12" t="n">
        <v>116.5</v>
      </c>
      <c r="F11" s="14" t="n">
        <v>0.5</v>
      </c>
    </row>
    <row r="12">
      <c r="A12" s="12" t="n">
        <v>10</v>
      </c>
      <c r="B12" s="13" t="n">
        <v>63.5</v>
      </c>
      <c r="C12" s="12" t="n">
        <v>1125</v>
      </c>
      <c r="D12" s="12" t="n">
        <v>0</v>
      </c>
      <c r="E12" s="12" t="n">
        <v>194.2</v>
      </c>
      <c r="F12" s="12" t="n">
        <v>-77.2</v>
      </c>
    </row>
    <row r="13">
      <c r="A13" s="12" t="n">
        <v>0</v>
      </c>
      <c r="B13" s="13" t="n">
        <v>112.19</v>
      </c>
      <c r="C13" s="12" t="n">
        <v>1132</v>
      </c>
      <c r="D13" s="12" t="n">
        <v>0</v>
      </c>
      <c r="E13" s="12" t="n">
        <v>343.1</v>
      </c>
      <c r="F13" s="12" t="n">
        <v>-226.1</v>
      </c>
    </row>
    <row r="15">
      <c r="A15" s="7" t="inlineStr">
        <is>
          <t>検証(Aspen式)：158.8℃→μ1.16cP/ρ1010/Pvp5.5kPa＝一致。MULDIP適用範囲270–450K(=−3〜177℃)内。</t>
        </is>
      </c>
    </row>
    <row r="17">
      <c r="A17" s="2" t="inlineStr">
        <is>
          <t>結論(条件付き)：</t>
        </is>
      </c>
    </row>
    <row r="18">
      <c r="A18" s="15" t="inlineStr">
        <is>
          <t>・通常運転(150〜160℃)は問題なし。</t>
        </is>
      </c>
    </row>
    <row r="19">
      <c r="A19" s="15" t="inlineStr">
        <is>
          <t>・上表は『定格流量×完全層流(ΔP∝μ)×定常NPSH』の最悪重ね合わせ＝上限評価。20℃でクリーンΔPが余力117kPaにほぼ達する。</t>
        </is>
      </c>
    </row>
    <row r="20">
      <c r="A20" s="16" t="inlineStr">
        <is>
          <t>・ただし緩和要因：(1)起動は低流量運用→ΔP∝vで低下、(2)低温ではDEG蒸気圧Pvpが激減(≤0.01kPa)→NPSHaはむしろ改善。</t>
        </is>
      </c>
    </row>
    <row r="21">
      <c r="A21" s="2" t="inlineStr">
        <is>
          <t>→ 無条件に『冷態起動でキャビ』とは断定しない。対策で回避可：(a)起動前に~50℃以上へ暖機/循環、(b)冷態起動時のみ40メッシュ、(c)低流量起動。実機は差圧直読で確認。</t>
        </is>
      </c>
    </row>
    <row r="22">
      <c r="A22" s="7" t="inlineStr">
        <is>
          <t>★冷態起動の標準手順(起動流量プロファイル・暖機有無)を確認し、その流量での実Re(層流可否)で本評価を確定する。</t>
        </is>
      </c>
    </row>
  </sheetData>
  <mergeCells count="9">
    <mergeCell ref="A2:F2"/>
    <mergeCell ref="A19:F19"/>
    <mergeCell ref="A1:F1"/>
    <mergeCell ref="A22:F22"/>
    <mergeCell ref="A17:F17"/>
    <mergeCell ref="A18:F18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2026-06-18T20:03:23Z</dcterms:created>
  <dcterms:modified xmlns:dcterms="http://purl.org/dc/terms/" xmlns:xsi="http://www.w3.org/2001/XMLSchema-instance" xsi:type="dcterms:W3CDTF">2026-06-18T20:03:23Z</dcterms:modified>
</cp:coreProperties>
</file>