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読み方" sheetId="1" r:id="rId1"/>
    <sheet name="①NPSH" sheetId="2" r:id="rId2"/>
    <sheet name="②ストレーナ" sheetId="3" r:id="rId3"/>
    <sheet name="③CV監視(両弁)" sheetId="4" r:id="rId4"/>
    <sheet name="④物性(Aspen)" sheetId="5" r:id="rId5"/>
  </sheets>
  <calcPr calcId="124519" fullCalcOnLoad="1"/>
</workbook>
</file>

<file path=xl/sharedStrings.xml><?xml version="1.0" encoding="utf-8"?>
<sst xmlns="http://schemas.openxmlformats.org/spreadsheetml/2006/main" count="198" uniqueCount="148">
  <si>
    <t>P-1507 吸入ストレーナ 40→250メッシュ 技術評価</t>
  </si>
  <si>
    <t>黄=入力(出典明記)。白の結果はクリックで数式が見え、入力変更で再計算。物性=Aspen係数表参照。CV=AGVB実流量特性カーブを補間。</t>
  </si>
  <si>
    <t>①NPSH</t>
  </si>
  <si>
    <t>限界ΔP=(NPSHa−NPSHr)×ρg＝余裕喪失点</t>
  </si>
  <si>
    <t>②ストレーナ</t>
  </si>
  <si>
    <t>ろ過面積(円錐式)/Re/閉塞率→ΔP(82.6%でキャビ)/グラフ</t>
  </si>
  <si>
    <t>③CV監視(両弁)</t>
  </si>
  <si>
    <t>AGVB等％カーブで開度↔Cv%を補間→ΔPcv・開度変化(FC-1531/1535)</t>
  </si>
  <si>
    <t>④物性(Aspen)</t>
  </si>
  <si>
    <t>係数表→μ(T)/ρ(T)/Pvp(T)→低温ΔP(T)/グラフ</t>
  </si>
  <si>
    <t>① NPSH / キャビ余裕</t>
  </si>
  <si>
    <t>考え方：塔頂圧≒蒸気圧で相殺→NPSHa≈静水頭で一定。削るのはストレーナΔPのみ。限界=NPSHa−NPSHrを圧力換算。</t>
  </si>
  <si>
    <t>項目</t>
  </si>
  <si>
    <t>値/式</t>
  </si>
  <si>
    <t>単位</t>
  </si>
  <si>
    <t>出典・注記</t>
  </si>
  <si>
    <t>NPSHa</t>
  </si>
  <si>
    <t>m</t>
  </si>
  <si>
    <t>出典:荏原ポンプ試験成績表 RM17156-13。★基準面要確認</t>
  </si>
  <si>
    <t>NPSHr</t>
  </si>
  <si>
    <t>出典:同試験成績表(規定9.8m³/h)。★運転点2.6m³/h要確認</t>
  </si>
  <si>
    <t>DEG密度</t>
  </si>
  <si>
    <t>kg/m³</t>
  </si>
  <si>
    <t>Aspen DNLDIP@設計吸込158.8℃(図面)</t>
  </si>
  <si>
    <t>NPSH余力</t>
  </si>
  <si>
    <t>限界ストレーナΔP</t>
  </si>
  <si>
    <t>kPa</t>
  </si>
  <si>
    <t>結論：通常運転(158.8℃)はクリーン3.6kPa(→②)＝余力の約3%。約83%閉塞で余裕喪失。管理＝ストレーナ差圧直読。</t>
  </si>
  <si>
    <t>② ストレーナ：クリーン差圧・ろ過面積(円錐)・Re・閉塞率→差圧</t>
  </si>
  <si>
    <t>考え方：ΔP∝1/開口比²。ろ過面積は図面寸法から円錐側面積。Reで層流確認。閉塞は ΔP=クリーン/(残存開口)²。</t>
  </si>
  <si>
    <t>出典・式</t>
  </si>
  <si>
    <t>開口比 40メッシュ</t>
  </si>
  <si>
    <t>-</t>
  </si>
  <si>
    <t>実値(メーカ)</t>
  </si>
  <si>
    <t>開口比 250メッシュ</t>
  </si>
  <si>
    <t>40メッシュ ΔP(基準)</t>
  </si>
  <si>
    <t>P&amp;ID実測1.13と同オーダー(保守2.0)</t>
  </si>
  <si>
    <t>通過流速比</t>
  </si>
  <si>
    <t>差圧比</t>
  </si>
  <si>
    <t>250 クリーンΔP@158.8℃</t>
  </si>
  <si>
    <t>― ろ過面積（円錐型・図面寸法から算出）―</t>
  </si>
  <si>
    <t>配管内径 ID</t>
  </si>
  <si>
    <t>mm</t>
  </si>
  <si>
    <t>図面：2B</t>
  </si>
  <si>
    <t>円錐軸長 L</t>
  </si>
  <si>
    <t>図面：YAC EWPCL-150S 2B(50A)寸法表</t>
  </si>
  <si>
    <t>底面半径 r</t>
  </si>
  <si>
    <t>母線長(斜辺)</t>
  </si>
  <si>
    <t>ろ過面積(円錐側面)</t>
  </si>
  <si>
    <t>cm²</t>
  </si>
  <si>
    <t>― 通過流速・Reynolds数 ―</t>
  </si>
  <si>
    <t>正味開口面積@250</t>
  </si>
  <si>
    <t>流量 Q</t>
  </si>
  <si>
    <t>m³/h</t>
  </si>
  <si>
    <t>2.587T/H÷ρ1110</t>
  </si>
  <si>
    <t>通過流速 v</t>
  </si>
  <si>
    <t>m/s</t>
  </si>
  <si>
    <t>目開き d(250)</t>
  </si>
  <si>
    <t>62μm</t>
  </si>
  <si>
    <t>DEG密度@158.8</t>
  </si>
  <si>
    <t>Aspen</t>
  </si>
  <si>
    <t>DEG粘度@158.8</t>
  </si>
  <si>
    <t>cP</t>
  </si>
  <si>
    <t>Aspen(→④)</t>
  </si>
  <si>
    <t>孔Reynolds数</t>
  </si>
  <si>
    <t>― 閉塞率 → ストレーナ差圧（何%でキャビ余裕117kPaに達するか）―</t>
  </si>
  <si>
    <t>クリーンΔP@158.8℃[kPa]</t>
  </si>
  <si>
    <t>②上で算出</t>
  </si>
  <si>
    <t>NPSH余力[kPa]</t>
  </si>
  <si>
    <t>①より</t>
  </si>
  <si>
    <t>閉塞率 b[%]</t>
  </si>
  <si>
    <t>残存開口(1-b)</t>
  </si>
  <si>
    <t>ストレーナΔP[kPa]</t>
  </si>
  <si>
    <t>NPSH余力(限界)</t>
  </si>
  <si>
    <t>←約83%閉塞でNPSH余裕喪失(キャビ)</t>
  </si>
  <si>
    <t>結論：ろ過面積≈101cm²。初期差圧は小。約83%閉塞で余裕喪失。Re十数=層流→低温の粘度依存(④)が効く。管理＝差圧直読。</t>
  </si>
  <si>
    <t>③ 制御弁開度で閉塞監視できるか（FC-1531・FC-1535 ＝ともにAGVB等％）</t>
  </si>
  <si>
    <t>考え方：開度↔Cv%はAGVB実流量特性カーブ(右表)を線形補間で参照。目詰まりで吐出↓＝CV差圧↓→必要Cvが増え弁が開く。その開度上昇を実カーブで算出。</t>
  </si>
  <si>
    <t>弁式：Q[m³/h]=K·Cv·√(ΔP[kPa]/SG)。Cv=Cv定格×Cv%(開度)。K=0.0865。</t>
  </si>
  <si>
    <t>AGVB 等％流量特性(出典:Azbil AGVB Fig.5 ／ Aspen物性ツール dVchar 'AGVB_EQ%_1B以下')</t>
  </si>
  <si>
    <t>開度[%]</t>
  </si>
  <si>
    <t>Cv[%]</t>
  </si>
  <si>
    <t>FC-1531</t>
  </si>
  <si>
    <t>FC-1535</t>
  </si>
  <si>
    <t>T/H</t>
  </si>
  <si>
    <t>FC-1531:製品送出/FC-1535:R-1401ﾘｻｲｸﾙ(DCS)</t>
  </si>
  <si>
    <t>DEG密度 ρ</t>
  </si>
  <si>
    <t>FC-1531:E-1509後~35℃/FC-1535:台帳110℃</t>
  </si>
  <si>
    <t>Cv 定格</t>
  </si>
  <si>
    <t>CV台帳。★FC-1531は2014記載10/21あり現行値要確認</t>
  </si>
  <si>
    <t>開度(運転)</t>
  </si>
  <si>
    <t>%</t>
  </si>
  <si>
    <t>DCS運転中央値(FC-1531 P&amp;ID瞬時30.4%)。★</t>
  </si>
  <si>
    <t>Cv%(開度)←カーブ補間</t>
  </si>
  <si>
    <t>実Cv</t>
  </si>
  <si>
    <t>係数 K</t>
  </si>
  <si>
    <t>Q=K·Cv·√(ΔP/SG)</t>
  </si>
  <si>
    <t>比重 SG</t>
  </si>
  <si>
    <t>流量 Q(体積)</t>
  </si>
  <si>
    <t>現状 CV差圧 ΔPcv0</t>
  </si>
  <si>
    <t>キャビ時ストレーナΔPs</t>
  </si>
  <si>
    <t>①の限界</t>
  </si>
  <si>
    <t>キャビ時 ΔPcv</t>
  </si>
  <si>
    <t>必要Cv%(キャビ時)</t>
  </si>
  <si>
    <t>新開度←カーブ逆補間</t>
  </si>
  <si>
    <t>開度変化(クリーン→余裕喪失)</t>
  </si>
  <si>
    <t>結論：実AGVBカーブで計算しても、キャビ(117kPa)到達まで FC-1531 +3%／FC-1535 +6% しか開かない。</t>
  </si>
  <si>
    <t>→ どちらの開度も通常の流量変動(±5〜10%)に埋もれ、単独で信頼できる監視指標にならない。主指標＝ストレーナ差圧直読。</t>
  </si>
  <si>
    <t>★FC-1531は開度30%×Cv定格14だとΔPcv0が吐出圧(660kPaG)を超え過大→Cv定格(14 vs 21)か実開度の確認要。ただし開度変化が小さい結論は不変。</t>
  </si>
  <si>
    <t>④ 物性(Aspen係数表→式)と低温起動の影響</t>
  </si>
  <si>
    <t>考え方：細目網は低Re=層流でΔP∝μ。係数表からμ(T)/ρ(T)/Pvp(T)→低温で250ΔP(T)がNPSH余力をどこまで食うか。温度変更で再計算。</t>
  </si>
  <si>
    <t>■ 物性係数（出典：Aspen物性ツール modAspenPropData.bas／Shell EOEG datadeck v4.01。式はこの係数セルを参照）</t>
  </si>
  <si>
    <t>物性/式形</t>
  </si>
  <si>
    <t>記号</t>
  </si>
  <si>
    <t>係数値</t>
  </si>
  <si>
    <t>適用範囲・式</t>
  </si>
  <si>
    <t>粘度 MULDIP</t>
  </si>
  <si>
    <t>C1</t>
  </si>
  <si>
    <t>lnμ[Pa·s]=C1+C2/T+C3·lnT (270–450K)</t>
  </si>
  <si>
    <t>C2</t>
  </si>
  <si>
    <t>C3</t>
  </si>
  <si>
    <t>密度 DNLDIP</t>
  </si>
  <si>
    <t>ρ[kmol/m³]=C1/C2^(1+(1−T/C3)^C4)×MW (262.7–744.6K)</t>
  </si>
  <si>
    <t>C4</t>
  </si>
  <si>
    <t>MW</t>
  </si>
  <si>
    <t>DEG分子量</t>
  </si>
  <si>
    <t>蒸気圧 PLXANT</t>
  </si>
  <si>
    <t>lnP[Pa]=C1+C2/T+C5·lnT+C6·T^C7 (262.7–680K)</t>
  </si>
  <si>
    <t>C5</t>
  </si>
  <si>
    <t>C6</t>
  </si>
  <si>
    <t>C7</t>
  </si>
  <si>
    <t>■ 評価入力</t>
  </si>
  <si>
    <t>250クリーンΔP@158.8℃[kPa]</t>
  </si>
  <si>
    <t>②より</t>
  </si>
  <si>
    <t>■ 温度別 物性とストレーナΔP（温度Aを変えると再計算）</t>
  </si>
  <si>
    <t>温度[℃]</t>
  </si>
  <si>
    <t>μ[cP]</t>
  </si>
  <si>
    <t>ρ[kg/m³]</t>
  </si>
  <si>
    <t>Pvp[kPa]</t>
  </si>
  <si>
    <t>250ΔP(T)[kPa]</t>
  </si>
  <si>
    <t>余力残[kPa]</t>
  </si>
  <si>
    <t>限界117</t>
  </si>
  <si>
    <t>検証:158.8℃→μ≈1.16/ρ≈1010/Pvp≈5.5。MULDIP適用270–450K内。</t>
  </si>
  <si>
    <t>結論(条件付き)：</t>
  </si>
  <si>
    <t>・通常運転(150〜160℃)は問題なし。</t>
  </si>
  <si>
    <t>・上表は『定格流量×完全層流×定常NPSH』の最悪上限。20℃でクリーンΔPが余力117kPaにほぼ達する。</t>
  </si>
  <si>
    <t>・緩和：起動低流量→ΔP∝v、低温でPvp激減→NPSHa改善。無条件にキャビとは断定しない。</t>
  </si>
  <si>
    <t>→ 対策：(a)~50℃以上へ暖機/循環、(b)冷態は40メッシュ、(c)低流量起動。差圧直読で確認。</t>
  </si>
</sst>
</file>

<file path=xl/styles.xml><?xml version="1.0" encoding="utf-8"?>
<styleSheet xmlns="http://schemas.openxmlformats.org/spreadsheetml/2006/main">
  <numFmts count="4">
    <numFmt numFmtId="164" formatCode="0.0####"/>
    <numFmt numFmtId="165" formatCode="0.0"/>
    <numFmt numFmtId="166" formatCode="0.000"/>
    <numFmt numFmtId="167" formatCode="0.00"/>
  </numFmts>
  <fonts count="7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2E7D3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3" borderId="1" xfId="0" applyNumberFormat="1" applyFill="1" applyBorder="1"/>
    <xf numFmtId="0" fontId="3" fillId="0" borderId="1" xfId="0" applyFont="1" applyBorder="1" applyAlignment="1">
      <alignment wrapText="1"/>
    </xf>
    <xf numFmtId="1" fontId="0" fillId="3" borderId="1" xfId="0" applyNumberFormat="1" applyFill="1" applyBorder="1"/>
    <xf numFmtId="165" fontId="0" fillId="0" borderId="1" xfId="0" applyNumberFormat="1" applyBorder="1"/>
    <xf numFmtId="0" fontId="5" fillId="0" borderId="0" xfId="0" applyFont="1" applyAlignment="1">
      <alignment wrapText="1"/>
    </xf>
    <xf numFmtId="1" fontId="2" fillId="4" borderId="1" xfId="0" applyNumberFormat="1" applyFont="1" applyFill="1" applyBorder="1"/>
    <xf numFmtId="166" fontId="0" fillId="0" borderId="1" xfId="0" applyNumberFormat="1" applyBorder="1"/>
    <xf numFmtId="165" fontId="2" fillId="4" borderId="1" xfId="0" applyNumberFormat="1" applyFont="1" applyFill="1" applyBorder="1"/>
    <xf numFmtId="1" fontId="0" fillId="0" borderId="1" xfId="0" applyNumberFormat="1" applyBorder="1"/>
    <xf numFmtId="167" fontId="0" fillId="0" borderId="1" xfId="0" applyNumberFormat="1" applyBorder="1"/>
    <xf numFmtId="165" fontId="0" fillId="5" borderId="1" xfId="0" applyNumberForma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閉塞率 → ストレーナ差圧（約83%で余裕喪失）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ストレーナΔP</c:v>
          </c:tx>
          <c:spPr>
            <a:ln>
              <a:solidFill>
                <a:srgbClr val="1F4E79"/>
              </a:solidFill>
            </a:ln>
          </c:spPr>
          <c:xVal>
            <c:numRef>
              <c:f>'②ストレーナ'!$A$35:$A$43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'②ストレーナ'!$C$35:$C$43</c:f>
              <c:numCache>
                <c:formatCode>General</c:formatCode>
                <c:ptCount val="9"/>
                <c:pt idx="0">
                  <c:v>3.56</c:v>
                </c:pt>
                <c:pt idx="1">
                  <c:v>7.2653061224489806</c:v>
                </c:pt>
                <c:pt idx="2">
                  <c:v>14.24</c:v>
                </c:pt>
                <c:pt idx="3">
                  <c:v>39.55555555555554</c:v>
                </c:pt>
                <c:pt idx="4">
                  <c:v>89.00000000000004</c:v>
                </c:pt>
                <c:pt idx="5">
                  <c:v>117.58488571806045</c:v>
                </c:pt>
                <c:pt idx="6">
                  <c:v>158.22222222222217</c:v>
                </c:pt>
                <c:pt idx="7">
                  <c:v>356.00000000000017</c:v>
                </c:pt>
                <c:pt idx="8">
                  <c:v>1423.9999999999975</c:v>
                </c:pt>
              </c:numCache>
            </c:numRef>
          </c:yVal>
        </c:ser>
        <c:ser>
          <c:idx val="1"/>
          <c:order val="1"/>
          <c:tx>
            <c:v>NPSH余力(限界117kPa)</c:v>
          </c:tx>
          <c:spPr>
            <a:ln>
              <a:solidFill>
                <a:srgbClr val="C00000"/>
              </a:solidFill>
              <a:prstDash val="dash"/>
            </a:ln>
          </c:spPr>
          <c:xVal>
            <c:numRef>
              <c:f>'②ストレーナ'!$A$35:$A$43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'②ストレーナ'!$D$35:$D$43</c:f>
              <c:numCache>
                <c:formatCode>General</c:formatCode>
                <c:ptCount val="9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閉塞率 b [%]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2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 [kPa]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AGVB 等％ 流量特性（開度 vs Cv%）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AGVB 等％ Cv%</c:v>
          </c:tx>
          <c:spPr>
            <a:ln>
              <a:solidFill>
                <a:srgbClr val="1F4E79"/>
              </a:solidFill>
            </a:ln>
          </c:spPr>
          <c:xVal>
            <c:numRef>
              <c:f>'③CV監視(両弁)'!$G$5:$G$14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'③CV監視(両弁)'!$H$5:$H$14</c:f>
              <c:numCache>
                <c:formatCode>General</c:formatCode>
                <c:ptCount val="10"/>
                <c:pt idx="0">
                  <c:v>3.2</c:v>
                </c:pt>
                <c:pt idx="1">
                  <c:v>5</c:v>
                </c:pt>
                <c:pt idx="2">
                  <c:v>7.4</c:v>
                </c:pt>
                <c:pt idx="3">
                  <c:v>11</c:v>
                </c:pt>
                <c:pt idx="4">
                  <c:v>16</c:v>
                </c:pt>
                <c:pt idx="5">
                  <c:v>24</c:v>
                </c:pt>
                <c:pt idx="6">
                  <c:v>34</c:v>
                </c:pt>
                <c:pt idx="7">
                  <c:v>50</c:v>
                </c:pt>
                <c:pt idx="8">
                  <c:v>74</c:v>
                </c:pt>
                <c:pt idx="9">
                  <c:v>100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10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開度 [%]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Cv [%]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DEG 粘度の温度依存（Aspen MULDIP式）：低温ほど急増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μ [cP]</c:v>
          </c:tx>
          <c:spPr>
            <a:ln>
              <a:solidFill>
                <a:srgbClr val="1F4E79"/>
              </a:solidFill>
            </a:ln>
          </c:spPr>
          <c:marker>
            <c:symbol val="circle"/>
            <c:size val="5"/>
          </c:marke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'④物性(Aspen)'!$B$26:$B$36</c:f>
              <c:numCache>
                <c:formatCode>General</c:formatCode>
                <c:ptCount val="11"/>
                <c:pt idx="0">
                  <c:v>112.191</c:v>
                </c:pt>
                <c:pt idx="1">
                  <c:v>63.502</c:v>
                </c:pt>
                <c:pt idx="2">
                  <c:v>38.1</c:v>
                </c:pt>
                <c:pt idx="3">
                  <c:v>30.103</c:v>
                </c:pt>
                <c:pt idx="4">
                  <c:v>24.077</c:v>
                </c:pt>
                <c:pt idx="5">
                  <c:v>15.936</c:v>
                </c:pt>
                <c:pt idx="6">
                  <c:v>10.995</c:v>
                </c:pt>
                <c:pt idx="7">
                  <c:v>5.831</c:v>
                </c:pt>
                <c:pt idx="8">
                  <c:v>2.81</c:v>
                </c:pt>
                <c:pt idx="9">
                  <c:v>1.663</c:v>
                </c:pt>
                <c:pt idx="10">
                  <c:v>1.164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粘度 μ [cP]（対数）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低温での250ストレーナΔP(T) と NPSH余力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250クリーンΔP(T)</c:v>
          </c:tx>
          <c:spPr>
            <a:ln>
              <a:solidFill>
                <a:srgbClr val="1F4E79"/>
              </a:solidFill>
            </a:ln>
          </c:spP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'④物性(Aspen)'!$E$26:$E$36</c:f>
              <c:numCache>
                <c:formatCode>General</c:formatCode>
                <c:ptCount val="11"/>
                <c:pt idx="0">
                  <c:v>343.1</c:v>
                </c:pt>
                <c:pt idx="1">
                  <c:v>194.2</c:v>
                </c:pt>
                <c:pt idx="2">
                  <c:v>116.5</c:v>
                </c:pt>
                <c:pt idx="3">
                  <c:v>92.1</c:v>
                </c:pt>
                <c:pt idx="4">
                  <c:v>73.6</c:v>
                </c:pt>
                <c:pt idx="5">
                  <c:v>48.7</c:v>
                </c:pt>
                <c:pt idx="6">
                  <c:v>33.6</c:v>
                </c:pt>
                <c:pt idx="7">
                  <c:v>17.8</c:v>
                </c:pt>
                <c:pt idx="8">
                  <c:v>8.6</c:v>
                </c:pt>
                <c:pt idx="9">
                  <c:v>5.1</c:v>
                </c:pt>
                <c:pt idx="10">
                  <c:v>3.6</c:v>
                </c:pt>
              </c:numCache>
            </c:numRef>
          </c:yVal>
        </c:ser>
        <c:ser>
          <c:idx val="1"/>
          <c:order val="1"/>
          <c:tx>
            <c:v>NPSH余力(限界117kPa)</c:v>
          </c:tx>
          <c:spPr>
            <a:ln>
              <a:solidFill>
                <a:srgbClr val="C00000"/>
              </a:solidFill>
              <a:prstDash val="dash"/>
            </a:ln>
          </c:spP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'④物性(Aspen)'!$G$26:$G$36</c:f>
              <c:numCache>
                <c:formatCode>General</c:formatCode>
                <c:ptCount val="11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差圧/余力 [kPa]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12</xdr:col>
      <xdr:colOff>209550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11</xdr:col>
      <xdr:colOff>95250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209550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209550</xdr:colOff>
      <xdr:row>33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9"/>
  <sheetViews>
    <sheetView tabSelected="1" workbookViewId="0"/>
  </sheetViews>
  <sheetFormatPr defaultRowHeight="15"/>
  <cols>
    <col min="1" max="1" width="2.7109375" customWidth="1"/>
    <col min="2" max="2" width="34.7109375" customWidth="1"/>
    <col min="3" max="3" width="62.7109375" customWidth="1"/>
  </cols>
  <sheetData>
    <row r="1" spans="2:3">
      <c r="B1" s="1" t="s">
        <v>0</v>
      </c>
    </row>
    <row r="3" spans="2:3">
      <c r="B3" s="2" t="s">
        <v>1</v>
      </c>
    </row>
    <row r="6" spans="2:3">
      <c r="B6" s="2" t="s">
        <v>2</v>
      </c>
      <c r="C6" t="s">
        <v>3</v>
      </c>
    </row>
    <row r="7" spans="2:3">
      <c r="B7" s="2" t="s">
        <v>4</v>
      </c>
      <c r="C7" t="s">
        <v>5</v>
      </c>
    </row>
    <row r="8" spans="2:3">
      <c r="B8" s="2" t="s">
        <v>6</v>
      </c>
      <c r="C8" t="s">
        <v>7</v>
      </c>
    </row>
    <row r="9" spans="2:3">
      <c r="B9" s="2" t="s">
        <v>8</v>
      </c>
      <c r="C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6.7109375" customWidth="1"/>
    <col min="2" max="2" width="12.7109375" customWidth="1"/>
    <col min="3" max="3" width="8.7109375" customWidth="1"/>
    <col min="4" max="4" width="54.7109375" customWidth="1"/>
  </cols>
  <sheetData>
    <row r="1" spans="1:4">
      <c r="A1" s="1" t="s">
        <v>10</v>
      </c>
    </row>
    <row r="2" spans="1:4">
      <c r="A2" s="3" t="s">
        <v>11</v>
      </c>
    </row>
    <row r="4" spans="1:4">
      <c r="A4" s="4" t="s">
        <v>12</v>
      </c>
      <c r="B4" s="4" t="s">
        <v>13</v>
      </c>
      <c r="C4" s="4" t="s">
        <v>14</v>
      </c>
      <c r="D4" s="4" t="s">
        <v>15</v>
      </c>
    </row>
    <row r="5" spans="1:4">
      <c r="A5" s="5" t="s">
        <v>16</v>
      </c>
      <c r="B5" s="6">
        <v>14</v>
      </c>
      <c r="C5" s="5" t="s">
        <v>17</v>
      </c>
      <c r="D5" s="7" t="s">
        <v>18</v>
      </c>
    </row>
    <row r="6" spans="1:4">
      <c r="A6" s="5" t="s">
        <v>19</v>
      </c>
      <c r="B6" s="6">
        <v>2.2</v>
      </c>
      <c r="C6" s="5" t="s">
        <v>17</v>
      </c>
      <c r="D6" s="7" t="s">
        <v>20</v>
      </c>
    </row>
    <row r="7" spans="1:4">
      <c r="A7" s="5" t="s">
        <v>21</v>
      </c>
      <c r="B7" s="8">
        <v>1010</v>
      </c>
      <c r="C7" s="5" t="s">
        <v>22</v>
      </c>
      <c r="D7" s="7" t="s">
        <v>23</v>
      </c>
    </row>
    <row r="8" spans="1:4">
      <c r="A8" s="5" t="s">
        <v>24</v>
      </c>
      <c r="B8" s="9">
        <f>B5-B6</f>
        <v>11.8</v>
      </c>
      <c r="C8" s="5" t="s">
        <v>17</v>
      </c>
      <c r="D8" s="7">
        <f>NPSHa−NPSHr</f>
        <v>0</v>
      </c>
    </row>
    <row r="9" spans="1:4">
      <c r="A9" s="10" t="s">
        <v>25</v>
      </c>
      <c r="B9" s="11">
        <f>B8*B7*9.81/1000</f>
        <v>116.9</v>
      </c>
      <c r="C9" s="5" t="s">
        <v>26</v>
      </c>
      <c r="D9" s="7">
        <f>余力×ρ×9.81/1000。★“余裕喪失”点</f>
        <v>0</v>
      </c>
    </row>
    <row r="11" spans="1:4">
      <c r="A11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26.7109375" customWidth="1"/>
    <col min="2" max="2" width="13.7109375" customWidth="1"/>
    <col min="3" max="3" width="8.7109375" customWidth="1"/>
    <col min="4" max="4" width="48.7109375" customWidth="1"/>
  </cols>
  <sheetData>
    <row r="1" spans="1:4">
      <c r="A1" s="1" t="s">
        <v>28</v>
      </c>
    </row>
    <row r="2" spans="1:4">
      <c r="A2" s="3" t="s">
        <v>29</v>
      </c>
    </row>
    <row r="4" spans="1:4">
      <c r="A4" s="4" t="s">
        <v>12</v>
      </c>
      <c r="B4" s="4" t="s">
        <v>13</v>
      </c>
      <c r="C4" s="4" t="s">
        <v>14</v>
      </c>
      <c r="D4" s="4" t="s">
        <v>30</v>
      </c>
    </row>
    <row r="5" spans="1:4">
      <c r="A5" s="5" t="s">
        <v>31</v>
      </c>
      <c r="B5" s="6">
        <v>0.36</v>
      </c>
      <c r="C5" s="5" t="s">
        <v>32</v>
      </c>
      <c r="D5" s="7" t="s">
        <v>33</v>
      </c>
    </row>
    <row r="6" spans="1:4">
      <c r="A6" s="5" t="s">
        <v>34</v>
      </c>
      <c r="B6" s="6">
        <v>0.27</v>
      </c>
      <c r="C6" s="5" t="s">
        <v>32</v>
      </c>
      <c r="D6" s="7" t="s">
        <v>33</v>
      </c>
    </row>
    <row r="7" spans="1:4">
      <c r="A7" s="5" t="s">
        <v>35</v>
      </c>
      <c r="B7" s="6">
        <v>2</v>
      </c>
      <c r="C7" s="5" t="s">
        <v>26</v>
      </c>
      <c r="D7" s="7" t="s">
        <v>36</v>
      </c>
    </row>
    <row r="8" spans="1:4">
      <c r="A8" s="5" t="s">
        <v>37</v>
      </c>
      <c r="B8" s="12">
        <f>B5/B6</f>
        <v>1.333</v>
      </c>
      <c r="C8" s="5" t="s">
        <v>32</v>
      </c>
      <c r="D8" s="7">
        <f>開口比40/開口比250</f>
        <v>0</v>
      </c>
    </row>
    <row r="9" spans="1:4">
      <c r="A9" s="5" t="s">
        <v>38</v>
      </c>
      <c r="B9" s="12">
        <f>B8^2</f>
        <v>1.778</v>
      </c>
      <c r="C9" s="5" t="s">
        <v>32</v>
      </c>
      <c r="D9" s="7">
        <f>流速比²</f>
        <v>0</v>
      </c>
    </row>
    <row r="10" spans="1:4">
      <c r="A10" s="10" t="s">
        <v>39</v>
      </c>
      <c r="B10" s="13">
        <f>B7*B9</f>
        <v>3.56</v>
      </c>
      <c r="C10" s="5" t="s">
        <v>26</v>
      </c>
      <c r="D10" s="7">
        <f>ΔP40×差圧比</f>
        <v>0</v>
      </c>
    </row>
    <row r="12" spans="1:4">
      <c r="A12" s="2" t="s">
        <v>40</v>
      </c>
    </row>
    <row r="13" spans="1:4">
      <c r="A13" s="4" t="s">
        <v>12</v>
      </c>
      <c r="B13" s="4" t="s">
        <v>13</v>
      </c>
      <c r="C13" s="4" t="s">
        <v>14</v>
      </c>
      <c r="D13" s="4" t="s">
        <v>30</v>
      </c>
    </row>
    <row r="14" spans="1:4">
      <c r="A14" s="5" t="s">
        <v>41</v>
      </c>
      <c r="B14" s="6">
        <v>52.5</v>
      </c>
      <c r="C14" s="5" t="s">
        <v>42</v>
      </c>
      <c r="D14" s="7" t="s">
        <v>43</v>
      </c>
    </row>
    <row r="15" spans="1:4">
      <c r="A15" s="5" t="s">
        <v>44</v>
      </c>
      <c r="B15" s="8">
        <v>120</v>
      </c>
      <c r="C15" s="5" t="s">
        <v>42</v>
      </c>
      <c r="D15" s="7" t="s">
        <v>45</v>
      </c>
    </row>
    <row r="16" spans="1:4">
      <c r="A16" s="5" t="s">
        <v>46</v>
      </c>
      <c r="B16" s="9">
        <f>B14/2</f>
        <v>26.25</v>
      </c>
      <c r="C16" s="5" t="s">
        <v>42</v>
      </c>
      <c r="D16" s="7">
        <f>ID/2</f>
        <v>0</v>
      </c>
    </row>
    <row r="17" spans="1:4">
      <c r="A17" s="5" t="s">
        <v>47</v>
      </c>
      <c r="B17" s="9">
        <f>SQRT(B16^2+B15^2)</f>
        <v>122.84</v>
      </c>
      <c r="C17" s="5" t="s">
        <v>42</v>
      </c>
      <c r="D17" s="7">
        <f>√(r²+L²)</f>
        <v>0</v>
      </c>
    </row>
    <row r="18" spans="1:4">
      <c r="A18" s="10" t="s">
        <v>48</v>
      </c>
      <c r="B18" s="13">
        <f>PI()*B16*B17/100</f>
        <v>101.3</v>
      </c>
      <c r="C18" s="5" t="s">
        <v>49</v>
      </c>
      <c r="D18" s="7">
        <f>π×r×母線/100。配管断面21.6の約4.7倍</f>
        <v>0</v>
      </c>
    </row>
    <row r="20" spans="1:4">
      <c r="A20" s="2" t="s">
        <v>50</v>
      </c>
    </row>
    <row r="21" spans="1:4">
      <c r="A21" s="4" t="s">
        <v>12</v>
      </c>
      <c r="B21" s="4" t="s">
        <v>13</v>
      </c>
      <c r="C21" s="4" t="s">
        <v>14</v>
      </c>
      <c r="D21" s="4" t="s">
        <v>30</v>
      </c>
    </row>
    <row r="22" spans="1:4">
      <c r="A22" s="5" t="s">
        <v>51</v>
      </c>
      <c r="B22" s="9">
        <f>B18*B6</f>
        <v>27.4</v>
      </c>
      <c r="C22" s="5" t="s">
        <v>49</v>
      </c>
      <c r="D22" s="7">
        <f>ろ過面積×開口比250</f>
        <v>0</v>
      </c>
    </row>
    <row r="23" spans="1:4">
      <c r="A23" s="5" t="s">
        <v>52</v>
      </c>
      <c r="B23" s="6">
        <v>2.33</v>
      </c>
      <c r="C23" s="5" t="s">
        <v>53</v>
      </c>
      <c r="D23" s="7" t="s">
        <v>54</v>
      </c>
    </row>
    <row r="24" spans="1:4">
      <c r="A24" s="5" t="s">
        <v>55</v>
      </c>
      <c r="B24" s="12">
        <f>B23/3600/(B22/10000)</f>
        <v>0.236</v>
      </c>
      <c r="C24" s="5" t="s">
        <v>56</v>
      </c>
      <c r="D24" s="7">
        <f>Q/正味開口面積</f>
        <v>0</v>
      </c>
    </row>
    <row r="25" spans="1:4">
      <c r="A25" s="5" t="s">
        <v>57</v>
      </c>
      <c r="B25" s="6">
        <v>0.062</v>
      </c>
      <c r="C25" s="5" t="s">
        <v>42</v>
      </c>
      <c r="D25" s="7" t="s">
        <v>58</v>
      </c>
    </row>
    <row r="26" spans="1:4">
      <c r="A26" s="5" t="s">
        <v>59</v>
      </c>
      <c r="B26" s="8">
        <v>1010</v>
      </c>
      <c r="C26" s="5" t="s">
        <v>22</v>
      </c>
      <c r="D26" s="7" t="s">
        <v>60</v>
      </c>
    </row>
    <row r="27" spans="1:4">
      <c r="A27" s="5" t="s">
        <v>61</v>
      </c>
      <c r="B27" s="6">
        <v>1.16</v>
      </c>
      <c r="C27" s="5" t="s">
        <v>62</v>
      </c>
      <c r="D27" s="7" t="s">
        <v>63</v>
      </c>
    </row>
    <row r="28" spans="1:4">
      <c r="A28" s="10" t="s">
        <v>64</v>
      </c>
      <c r="B28" s="11">
        <f>B26*B24*(B25/1000)/(B27/1000)</f>
        <v>13</v>
      </c>
      <c r="C28" s="5" t="s">
        <v>32</v>
      </c>
      <c r="D28" s="7">
        <f>ρ·v·d/μ。低温(μ↑)でRe↓=層流→④のΔP∝μ成立</f>
        <v>0</v>
      </c>
    </row>
    <row r="30" spans="1:4">
      <c r="A30" s="2" t="s">
        <v>65</v>
      </c>
    </row>
    <row r="31" spans="1:4">
      <c r="A31" s="5" t="s">
        <v>66</v>
      </c>
      <c r="B31" s="6">
        <v>3.56</v>
      </c>
      <c r="C31" s="7" t="s">
        <v>67</v>
      </c>
    </row>
    <row r="32" spans="1:4">
      <c r="A32" s="5" t="s">
        <v>68</v>
      </c>
      <c r="B32" s="8">
        <v>117</v>
      </c>
      <c r="C32" s="7" t="s">
        <v>69</v>
      </c>
    </row>
    <row r="34" spans="1:5">
      <c r="A34" s="4" t="s">
        <v>70</v>
      </c>
      <c r="B34" s="4" t="s">
        <v>71</v>
      </c>
      <c r="C34" s="4" t="s">
        <v>72</v>
      </c>
      <c r="D34" s="4" t="s">
        <v>73</v>
      </c>
    </row>
    <row r="35" spans="1:5">
      <c r="A35" s="8">
        <v>0</v>
      </c>
      <c r="B35" s="12">
        <f>1-A35/100</f>
        <v>1.0</v>
      </c>
      <c r="C35" s="9">
        <f>$B$31/(B35)^2</f>
        <v>3.56</v>
      </c>
      <c r="D35" s="14">
        <f>$B$32</f>
        <v>117</v>
      </c>
    </row>
    <row r="36" spans="1:5">
      <c r="A36" s="8">
        <v>30</v>
      </c>
      <c r="B36" s="12">
        <f>1-A36/100</f>
        <v>0.7</v>
      </c>
      <c r="C36" s="9">
        <f>$B$31/(B36)^2</f>
        <v>7.2653061224489806</v>
      </c>
      <c r="D36" s="14">
        <f>$B$32</f>
        <v>117</v>
      </c>
    </row>
    <row r="37" spans="1:5">
      <c r="A37" s="8">
        <v>50</v>
      </c>
      <c r="B37" s="12">
        <f>1-A37/100</f>
        <v>0.5</v>
      </c>
      <c r="C37" s="9">
        <f>$B$31/(B37)^2</f>
        <v>14.24</v>
      </c>
      <c r="D37" s="14">
        <f>$B$32</f>
        <v>117</v>
      </c>
    </row>
    <row r="38" spans="1:5">
      <c r="A38" s="8">
        <v>70</v>
      </c>
      <c r="B38" s="12">
        <f>1-A38/100</f>
        <v>0.30000000000000004</v>
      </c>
      <c r="C38" s="9">
        <f>$B$31/(B38)^2</f>
        <v>39.55555555555554</v>
      </c>
      <c r="D38" s="14">
        <f>$B$32</f>
        <v>117</v>
      </c>
    </row>
    <row r="39" spans="1:5">
      <c r="A39" s="8">
        <v>80</v>
      </c>
      <c r="B39" s="12">
        <f>1-A39/100</f>
        <v>0.19999999999999996</v>
      </c>
      <c r="C39" s="9">
        <f>$B$31/(B39)^2</f>
        <v>89.00000000000004</v>
      </c>
      <c r="D39" s="14">
        <f>$B$32</f>
        <v>117</v>
      </c>
    </row>
    <row r="40" spans="1:5">
      <c r="A40" s="8">
        <v>82.59999999999999</v>
      </c>
      <c r="B40" s="12">
        <f>1-A40/100</f>
        <v>0.17400000000000004</v>
      </c>
      <c r="C40" s="9">
        <f>$B$31/(B40)^2</f>
        <v>117.58488571806045</v>
      </c>
      <c r="D40" s="14">
        <f>$B$32</f>
        <v>117</v>
      </c>
      <c r="E40" s="10" t="s">
        <v>74</v>
      </c>
    </row>
    <row r="41" spans="1:5">
      <c r="A41" s="8">
        <v>85</v>
      </c>
      <c r="B41" s="12">
        <f>1-A41/100</f>
        <v>0.15000000000000002</v>
      </c>
      <c r="C41" s="9">
        <f>$B$31/(B41)^2</f>
        <v>158.22222222222217</v>
      </c>
      <c r="D41" s="14">
        <f>$B$32</f>
        <v>117</v>
      </c>
    </row>
    <row r="42" spans="1:5">
      <c r="A42" s="8">
        <v>90</v>
      </c>
      <c r="B42" s="12">
        <f>1-A42/100</f>
        <v>0.09999999999999998</v>
      </c>
      <c r="C42" s="9">
        <f>$B$31/(B42)^2</f>
        <v>356.00000000000017</v>
      </c>
      <c r="D42" s="14">
        <f>$B$32</f>
        <v>117</v>
      </c>
    </row>
    <row r="43" spans="1:5">
      <c r="A43" s="8">
        <v>95</v>
      </c>
      <c r="B43" s="12">
        <f>1-A43/100</f>
        <v>0.050000000000000044</v>
      </c>
      <c r="C43" s="9">
        <f>$B$31/(B43)^2</f>
        <v>1423.9999999999975</v>
      </c>
      <c r="D43" s="14">
        <f>$B$32</f>
        <v>117</v>
      </c>
    </row>
    <row r="46" spans="1:5">
      <c r="A46" s="2" t="s">
        <v>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28.7109375" customWidth="1"/>
    <col min="2" max="3" width="13.7109375" customWidth="1"/>
    <col min="4" max="4" width="8.7109375" customWidth="1"/>
    <col min="5" max="5" width="44.7109375" customWidth="1"/>
    <col min="7" max="7" width="13.7109375" customWidth="1"/>
    <col min="8" max="8" width="11.7109375" customWidth="1"/>
  </cols>
  <sheetData>
    <row r="1" spans="1:8">
      <c r="A1" s="1" t="s">
        <v>76</v>
      </c>
    </row>
    <row r="2" spans="1:8">
      <c r="A2" s="3" t="s">
        <v>77</v>
      </c>
    </row>
    <row r="3" spans="1:8">
      <c r="A3" s="3" t="s">
        <v>78</v>
      </c>
      <c r="G3" s="2" t="s">
        <v>79</v>
      </c>
    </row>
    <row r="4" spans="1:8">
      <c r="G4" s="4" t="s">
        <v>80</v>
      </c>
      <c r="H4" s="4" t="s">
        <v>81</v>
      </c>
    </row>
    <row r="5" spans="1:8">
      <c r="A5" s="4" t="s">
        <v>12</v>
      </c>
      <c r="B5" s="4" t="s">
        <v>82</v>
      </c>
      <c r="C5" s="4" t="s">
        <v>83</v>
      </c>
      <c r="D5" s="4" t="s">
        <v>14</v>
      </c>
      <c r="E5" s="4" t="s">
        <v>30</v>
      </c>
      <c r="G5" s="5">
        <v>10</v>
      </c>
      <c r="H5" s="5">
        <v>3.2</v>
      </c>
    </row>
    <row r="6" spans="1:8">
      <c r="A6" s="5" t="s">
        <v>52</v>
      </c>
      <c r="B6" s="6">
        <v>2.587</v>
      </c>
      <c r="C6" s="6">
        <v>1.1</v>
      </c>
      <c r="D6" s="5" t="s">
        <v>84</v>
      </c>
      <c r="E6" s="7" t="s">
        <v>85</v>
      </c>
      <c r="G6" s="5">
        <v>20</v>
      </c>
      <c r="H6" s="5">
        <v>5</v>
      </c>
    </row>
    <row r="7" spans="1:8">
      <c r="A7" s="5" t="s">
        <v>86</v>
      </c>
      <c r="B7" s="6">
        <v>1110</v>
      </c>
      <c r="C7" s="6">
        <v>1043</v>
      </c>
      <c r="D7" s="5" t="s">
        <v>22</v>
      </c>
      <c r="E7" s="7" t="s">
        <v>87</v>
      </c>
      <c r="G7" s="5">
        <v>30</v>
      </c>
      <c r="H7" s="5">
        <v>7.4</v>
      </c>
    </row>
    <row r="8" spans="1:8">
      <c r="A8" s="5" t="s">
        <v>88</v>
      </c>
      <c r="B8" s="6">
        <v>14</v>
      </c>
      <c r="C8" s="6">
        <v>4</v>
      </c>
      <c r="D8" s="5" t="s">
        <v>32</v>
      </c>
      <c r="E8" s="7" t="s">
        <v>89</v>
      </c>
      <c r="G8" s="5">
        <v>40</v>
      </c>
      <c r="H8" s="5">
        <v>11</v>
      </c>
    </row>
    <row r="9" spans="1:8">
      <c r="A9" s="5" t="s">
        <v>90</v>
      </c>
      <c r="B9" s="6">
        <v>34</v>
      </c>
      <c r="C9" s="6">
        <v>52</v>
      </c>
      <c r="D9" s="5" t="s">
        <v>91</v>
      </c>
      <c r="E9" s="7" t="s">
        <v>92</v>
      </c>
      <c r="G9" s="5">
        <v>50</v>
      </c>
      <c r="H9" s="5">
        <v>16</v>
      </c>
    </row>
    <row r="10" spans="1:8">
      <c r="A10" s="5" t="s">
        <v>93</v>
      </c>
      <c r="B10" s="15">
        <f>INDEX($H$5:$H$14,MATCH(B9,$G$5:$G$14,1))+(B9-INDEX($G$5:$G$14,MATCH(B9,$G$5:$G$14,1)))*(INDEX($H$5:$H$14,MATCH(B9,$G$5:$G$14,1)+1)-INDEX($H$5:$H$14,MATCH(B9,$G$5:$G$14,1)))/(INDEX($G$5:$G$14,MATCH(B9,$G$5:$G$14,1)+1)-INDEX($G$5:$G$14,MATCH(B9,$G$5:$G$14,1)))</f>
        <v>8.84</v>
      </c>
      <c r="C10" s="15">
        <f>INDEX($H$5:$H$14,MATCH(C9,$G$5:$G$14,1))+(C9-INDEX($G$5:$G$14,MATCH(C9,$G$5:$G$14,1)))*(INDEX($H$5:$H$14,MATCH(C9,$G$5:$G$14,1)+1)-INDEX($H$5:$H$14,MATCH(C9,$G$5:$G$14,1)))/(INDEX($G$5:$G$14,MATCH(C9,$G$5:$G$14,1)+1)-INDEX($G$5:$G$14,MATCH(C9,$G$5:$G$14,1)))</f>
        <v>17.6</v>
      </c>
      <c r="D10" s="5" t="s">
        <v>91</v>
      </c>
      <c r="E10" s="7">
        <f>AGVB等％カーブ(右表)を線形補間</f>
        <v>0</v>
      </c>
      <c r="G10" s="5">
        <v>60</v>
      </c>
      <c r="H10" s="5">
        <v>24</v>
      </c>
    </row>
    <row r="11" spans="1:8">
      <c r="A11" s="5" t="s">
        <v>94</v>
      </c>
      <c r="B11" s="12">
        <f>B8*B10/100</f>
        <v>1.238</v>
      </c>
      <c r="C11" s="12">
        <f>C8*C10/100</f>
        <v>0.704</v>
      </c>
      <c r="D11" s="5" t="s">
        <v>32</v>
      </c>
      <c r="E11" s="7">
        <f>Cv定格×Cv%/100</f>
        <v>0</v>
      </c>
      <c r="G11" s="5">
        <v>70</v>
      </c>
      <c r="H11" s="5">
        <v>34</v>
      </c>
    </row>
    <row r="12" spans="1:8">
      <c r="A12" s="5" t="s">
        <v>95</v>
      </c>
      <c r="B12" s="6">
        <v>0.08649999999999999</v>
      </c>
      <c r="C12" s="6">
        <v>0.08649999999999999</v>
      </c>
      <c r="D12" s="5" t="s">
        <v>32</v>
      </c>
      <c r="E12" s="7" t="s">
        <v>96</v>
      </c>
      <c r="G12" s="5">
        <v>80</v>
      </c>
      <c r="H12" s="5">
        <v>50</v>
      </c>
    </row>
    <row r="13" spans="1:8">
      <c r="A13" s="5" t="s">
        <v>97</v>
      </c>
      <c r="B13" s="12">
        <f>B7/1000</f>
        <v>1.11</v>
      </c>
      <c r="C13" s="12">
        <f>C7/1000</f>
        <v>1.043</v>
      </c>
      <c r="D13" s="5" t="s">
        <v>32</v>
      </c>
      <c r="E13" s="7">
        <f>ρ/1000</f>
        <v>0</v>
      </c>
      <c r="G13" s="5">
        <v>90</v>
      </c>
      <c r="H13" s="5">
        <v>74</v>
      </c>
    </row>
    <row r="14" spans="1:8">
      <c r="A14" s="5" t="s">
        <v>98</v>
      </c>
      <c r="B14" s="12">
        <f>B6*1000/B7</f>
        <v>2.331</v>
      </c>
      <c r="C14" s="12">
        <f>C6*1000/C7</f>
        <v>1.055</v>
      </c>
      <c r="D14" s="5" t="s">
        <v>53</v>
      </c>
      <c r="E14" s="7">
        <f>T/H×1000/ρ</f>
        <v>0</v>
      </c>
      <c r="G14" s="5">
        <v>100</v>
      </c>
      <c r="H14" s="5">
        <v>100</v>
      </c>
    </row>
    <row r="15" spans="1:8">
      <c r="A15" s="10" t="s">
        <v>99</v>
      </c>
      <c r="B15" s="11">
        <f>B13*(B14/(B12*B11))^2</f>
        <v>526</v>
      </c>
      <c r="C15" s="11">
        <f>C13*(C14/(C12*C11))^2</f>
        <v>313</v>
      </c>
      <c r="D15" s="5" t="s">
        <v>26</v>
      </c>
      <c r="E15" s="7">
        <f>SG·(Q/(K·実Cv))²。★下流圧1点実測で確定</f>
        <v>0</v>
      </c>
    </row>
    <row r="16" spans="1:8">
      <c r="A16" s="5" t="s">
        <v>100</v>
      </c>
      <c r="B16" s="6">
        <v>117</v>
      </c>
      <c r="C16" s="6">
        <v>117</v>
      </c>
      <c r="D16" s="5" t="s">
        <v>26</v>
      </c>
      <c r="E16" s="7" t="s">
        <v>101</v>
      </c>
    </row>
    <row r="17" spans="1:5">
      <c r="A17" s="5" t="s">
        <v>102</v>
      </c>
      <c r="B17" s="14">
        <f>B15-B16</f>
        <v>409</v>
      </c>
      <c r="C17" s="14">
        <f>C15-C16</f>
        <v>196</v>
      </c>
      <c r="D17" s="5" t="s">
        <v>26</v>
      </c>
      <c r="E17" s="7">
        <f>ΔPcv0−ΔPs</f>
        <v>0</v>
      </c>
    </row>
    <row r="18" spans="1:5">
      <c r="A18" s="5" t="s">
        <v>103</v>
      </c>
      <c r="B18" s="15">
        <f>B10*SQRT(B15/B17)</f>
        <v>10.03</v>
      </c>
      <c r="C18" s="15">
        <f>C10*SQRT(C15/C17)</f>
        <v>22.24</v>
      </c>
      <c r="D18" s="5" t="s">
        <v>91</v>
      </c>
      <c r="E18" s="7">
        <f>Cv%×√(ΔPcv0/ΔPcv)</f>
        <v>0</v>
      </c>
    </row>
    <row r="19" spans="1:5">
      <c r="A19" s="5" t="s">
        <v>104</v>
      </c>
      <c r="B19" s="9">
        <f>INDEX($G$5:$G$14,MATCH(B18,$H$5:$H$14,1))+(B18-INDEX($H$5:$H$14,MATCH(B18,$H$5:$H$14,1)))*(INDEX($G$5:$G$14,MATCH(B18,$H$5:$H$14,1)+1)-INDEX($G$5:$G$14,MATCH(B18,$H$5:$H$14,1)))/(INDEX($H$5:$H$14,MATCH(B18,$H$5:$H$14,1)+1)-INDEX($H$5:$H$14,MATCH(B18,$H$5:$H$14,1)))</f>
        <v>37.3</v>
      </c>
      <c r="C19" s="9">
        <f>INDEX($G$5:$G$14,MATCH(C18,$H$5:$H$14,1))+(C18-INDEX($H$5:$H$14,MATCH(C18,$H$5:$H$14,1)))*(INDEX($G$5:$G$14,MATCH(C18,$H$5:$H$14,1)+1)-INDEX($G$5:$G$14,MATCH(C18,$H$5:$H$14,1)))/(INDEX($H$5:$H$14,MATCH(C18,$H$5:$H$14,1)+1)-INDEX($H$5:$H$14,MATCH(C18,$H$5:$H$14,1)))</f>
        <v>57.8</v>
      </c>
      <c r="D19" s="5" t="s">
        <v>91</v>
      </c>
      <c r="E19" s="7">
        <f>必要Cv%をカーブで逆引き</f>
        <v>0</v>
      </c>
    </row>
    <row r="20" spans="1:5">
      <c r="A20" s="10" t="s">
        <v>105</v>
      </c>
      <c r="B20" s="11">
        <f>B19-B9</f>
        <v>3.3</v>
      </c>
      <c r="C20" s="11">
        <f>C19-C9</f>
        <v>5.8</v>
      </c>
      <c r="D20" s="5" t="s">
        <v>91</v>
      </c>
      <c r="E20" s="7">
        <f>新開度−現開度</f>
        <v>0</v>
      </c>
    </row>
    <row r="21" spans="1:5">
      <c r="A21" s="2" t="s">
        <v>106</v>
      </c>
    </row>
    <row r="22" spans="1:5">
      <c r="A22" s="2" t="s">
        <v>107</v>
      </c>
    </row>
    <row r="23" spans="1:5">
      <c r="A23" s="7" t="s">
        <v>108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18.7109375" customWidth="1"/>
    <col min="2" max="2" width="12.7109375" customWidth="1"/>
    <col min="3" max="3" width="13.7109375" customWidth="1"/>
    <col min="4" max="4" width="30.7109375" customWidth="1"/>
    <col min="5" max="7" width="13.7109375" customWidth="1"/>
  </cols>
  <sheetData>
    <row r="1" spans="1:4">
      <c r="A1" s="1" t="s">
        <v>109</v>
      </c>
    </row>
    <row r="2" spans="1:4">
      <c r="A2" s="3" t="s">
        <v>110</v>
      </c>
    </row>
    <row r="4" spans="1:4">
      <c r="A4" s="2" t="s">
        <v>111</v>
      </c>
    </row>
    <row r="5" spans="1:4">
      <c r="A5" s="4" t="s">
        <v>112</v>
      </c>
      <c r="B5" s="4" t="s">
        <v>113</v>
      </c>
      <c r="C5" s="4" t="s">
        <v>114</v>
      </c>
      <c r="D5" s="4" t="s">
        <v>115</v>
      </c>
    </row>
    <row r="6" spans="1:4">
      <c r="A6" s="5" t="s">
        <v>116</v>
      </c>
      <c r="B6" s="5" t="s">
        <v>117</v>
      </c>
      <c r="C6" s="6">
        <v>-125.3</v>
      </c>
      <c r="D6" s="7" t="s">
        <v>118</v>
      </c>
    </row>
    <row r="7" spans="1:4">
      <c r="A7" s="5"/>
      <c r="B7" s="5" t="s">
        <v>119</v>
      </c>
      <c r="C7" s="6">
        <v>8891</v>
      </c>
      <c r="D7" s="7"/>
    </row>
    <row r="8" spans="1:4">
      <c r="A8" s="5"/>
      <c r="B8" s="5" t="s">
        <v>120</v>
      </c>
      <c r="C8" s="6">
        <v>16.143</v>
      </c>
      <c r="D8" s="7"/>
    </row>
    <row r="9" spans="1:4">
      <c r="A9" s="5" t="s">
        <v>121</v>
      </c>
      <c r="B9" s="5" t="s">
        <v>117</v>
      </c>
      <c r="C9" s="6">
        <v>0.83692</v>
      </c>
      <c r="D9" s="7" t="s">
        <v>122</v>
      </c>
    </row>
    <row r="10" spans="1:4">
      <c r="A10" s="5"/>
      <c r="B10" s="5" t="s">
        <v>119</v>
      </c>
      <c r="C10" s="6">
        <v>0.26112</v>
      </c>
      <c r="D10" s="7"/>
    </row>
    <row r="11" spans="1:4">
      <c r="A11" s="5"/>
      <c r="B11" s="5" t="s">
        <v>120</v>
      </c>
      <c r="C11" s="6">
        <v>744.6</v>
      </c>
      <c r="D11" s="7"/>
    </row>
    <row r="12" spans="1:4">
      <c r="A12" s="5"/>
      <c r="B12" s="5" t="s">
        <v>123</v>
      </c>
      <c r="C12" s="6">
        <v>0.2422</v>
      </c>
      <c r="D12" s="7"/>
    </row>
    <row r="13" spans="1:4">
      <c r="A13" s="5"/>
      <c r="B13" s="5" t="s">
        <v>124</v>
      </c>
      <c r="C13" s="6">
        <v>106.122</v>
      </c>
      <c r="D13" s="7" t="s">
        <v>125</v>
      </c>
    </row>
    <row r="14" spans="1:4">
      <c r="A14" s="5" t="s">
        <v>126</v>
      </c>
      <c r="B14" s="5" t="s">
        <v>117</v>
      </c>
      <c r="C14" s="6">
        <v>74.55</v>
      </c>
      <c r="D14" s="7" t="s">
        <v>127</v>
      </c>
    </row>
    <row r="15" spans="1:4">
      <c r="A15" s="5"/>
      <c r="B15" s="5" t="s">
        <v>119</v>
      </c>
      <c r="C15" s="6">
        <v>-10632</v>
      </c>
      <c r="D15" s="7"/>
    </row>
    <row r="16" spans="1:4">
      <c r="A16" s="5"/>
      <c r="B16" s="5" t="s">
        <v>128</v>
      </c>
      <c r="C16" s="6">
        <v>-6.8195</v>
      </c>
      <c r="D16" s="7"/>
    </row>
    <row r="17" spans="1:7">
      <c r="A17" s="5"/>
      <c r="B17" s="5" t="s">
        <v>129</v>
      </c>
      <c r="C17" s="6">
        <v>9.096799999999999E-18</v>
      </c>
      <c r="D17" s="7"/>
    </row>
    <row r="18" spans="1:7">
      <c r="A18" s="5"/>
      <c r="B18" s="5" t="s">
        <v>130</v>
      </c>
      <c r="C18" s="6">
        <v>6</v>
      </c>
      <c r="D18" s="7"/>
    </row>
    <row r="20" spans="1:7">
      <c r="A20" t="s">
        <v>131</v>
      </c>
    </row>
    <row r="21" spans="1:7">
      <c r="A21" s="5" t="s">
        <v>132</v>
      </c>
      <c r="C21" s="6">
        <v>3.56</v>
      </c>
      <c r="D21" s="7" t="s">
        <v>133</v>
      </c>
    </row>
    <row r="22" spans="1:7">
      <c r="A22" s="5" t="s">
        <v>68</v>
      </c>
      <c r="C22" s="8">
        <v>117</v>
      </c>
      <c r="D22" s="7" t="s">
        <v>69</v>
      </c>
    </row>
    <row r="24" spans="1:7">
      <c r="A24" s="2" t="s">
        <v>134</v>
      </c>
    </row>
    <row r="25" spans="1:7">
      <c r="A25" s="4" t="s">
        <v>135</v>
      </c>
      <c r="B25" s="4" t="s">
        <v>136</v>
      </c>
      <c r="C25" s="4" t="s">
        <v>137</v>
      </c>
      <c r="D25" s="4" t="s">
        <v>138</v>
      </c>
      <c r="E25" s="4" t="s">
        <v>139</v>
      </c>
      <c r="F25" s="4" t="s">
        <v>140</v>
      </c>
      <c r="G25" s="4" t="s">
        <v>141</v>
      </c>
    </row>
    <row r="26" spans="1:7">
      <c r="A26" s="6">
        <v>0</v>
      </c>
      <c r="B26" s="12">
        <f>EXP($C$6+$C$7/(A26+273.15)+$C$8*LN(A26+273.15))*1000</f>
        <v>112.191</v>
      </c>
      <c r="C26" s="14">
        <f>$C$9/($C$10^(1+(1-((A26+273.15)/$C$11))^$C$12))*$C$13</f>
        <v>1132.0</v>
      </c>
      <c r="D26" s="12">
        <f>EXP($C$14+$C$15/(A26+273.15)+$C$16*LN(A26+273.15)+$C$17*(A26+273.15)^$C$18)/1000</f>
        <v>0.0</v>
      </c>
      <c r="E26" s="9">
        <f>$C$21*B26/$B$36</f>
        <v>343.1</v>
      </c>
      <c r="F26" s="9">
        <f>$C$22-E26</f>
        <v>-226.1</v>
      </c>
      <c r="G26" s="14">
        <f>$C$22</f>
        <v>117</v>
      </c>
    </row>
    <row r="27" spans="1:7">
      <c r="A27" s="6">
        <v>10</v>
      </c>
      <c r="B27" s="12">
        <f>EXP($C$6+$C$7/(A27+273.15)+$C$8*LN(A27+273.15))*1000</f>
        <v>63.502</v>
      </c>
      <c r="C27" s="14">
        <f>$C$9/($C$10^(1+(1-((A27+273.15)/$C$11))^$C$12))*$C$13</f>
        <v>1125.0</v>
      </c>
      <c r="D27" s="12">
        <f>EXP($C$14+$C$15/(A27+273.15)+$C$16*LN(A27+273.15)+$C$17*(A27+273.15)^$C$18)/1000</f>
        <v>0.0</v>
      </c>
      <c r="E27" s="9">
        <f>$C$21*B27/$B$36</f>
        <v>194.2</v>
      </c>
      <c r="F27" s="9">
        <f>$C$22-E27</f>
        <v>-77.2</v>
      </c>
      <c r="G27" s="14">
        <f>$C$22</f>
        <v>117</v>
      </c>
    </row>
    <row r="28" spans="1:7">
      <c r="A28" s="6">
        <v>20</v>
      </c>
      <c r="B28" s="12">
        <f>EXP($C$6+$C$7/(A28+273.15)+$C$8*LN(A28+273.15))*1000</f>
        <v>38.1</v>
      </c>
      <c r="C28" s="14">
        <f>$C$9/($C$10^(1+(1-((A28+273.15)/$C$11))^$C$12))*$C$13</f>
        <v>1118.0</v>
      </c>
      <c r="D28" s="12">
        <f>EXP($C$14+$C$15/(A28+273.15)+$C$16*LN(A28+273.15)+$C$17*(A28+273.15)^$C$18)/1000</f>
        <v>0.001</v>
      </c>
      <c r="E28" s="9">
        <f>$C$21*B28/$B$36</f>
        <v>116.5</v>
      </c>
      <c r="F28" s="16">
        <f>$C$22-E28</f>
        <v>0.5</v>
      </c>
      <c r="G28" s="14">
        <f>$C$22</f>
        <v>117</v>
      </c>
    </row>
    <row r="29" spans="1:7">
      <c r="A29" s="6">
        <v>25</v>
      </c>
      <c r="B29" s="12">
        <f>EXP($C$6+$C$7/(A29+273.15)+$C$8*LN(A29+273.15))*1000</f>
        <v>30.103</v>
      </c>
      <c r="C29" s="14">
        <f>$C$9/($C$10^(1+(1-((A29+273.15)/$C$11))^$C$12))*$C$13</f>
        <v>1114.0</v>
      </c>
      <c r="D29" s="12">
        <f>EXP($C$14+$C$15/(A29+273.15)+$C$16*LN(A29+273.15)+$C$17*(A29+273.15)^$C$18)/1000</f>
        <v>0.001</v>
      </c>
      <c r="E29" s="9">
        <f>$C$21*B29/$B$36</f>
        <v>92.1</v>
      </c>
      <c r="F29" s="16">
        <f>$C$22-E29</f>
        <v>24.9</v>
      </c>
      <c r="G29" s="14">
        <f>$C$22</f>
        <v>117</v>
      </c>
    </row>
    <row r="30" spans="1:7">
      <c r="A30" s="6">
        <v>30</v>
      </c>
      <c r="B30" s="12">
        <f>EXP($C$6+$C$7/(A30+273.15)+$C$8*LN(A30+273.15))*1000</f>
        <v>24.077</v>
      </c>
      <c r="C30" s="14">
        <f>$C$9/($C$10^(1+(1-((A30+273.15)/$C$11))^$C$12))*$C$13</f>
        <v>1110.0</v>
      </c>
      <c r="D30" s="12">
        <f>EXP($C$14+$C$15/(A30+273.15)+$C$16*LN(A30+273.15)+$C$17*(A30+273.15)^$C$18)/1000</f>
        <v>0.002</v>
      </c>
      <c r="E30" s="9">
        <f>$C$21*B30/$B$36</f>
        <v>73.6</v>
      </c>
      <c r="F30" s="9">
        <f>$C$22-E30</f>
        <v>43.4</v>
      </c>
      <c r="G30" s="14">
        <f>$C$22</f>
        <v>117</v>
      </c>
    </row>
    <row r="31" spans="1:7">
      <c r="A31" s="6">
        <v>40</v>
      </c>
      <c r="B31" s="12">
        <f>EXP($C$6+$C$7/(A31+273.15)+$C$8*LN(A31+273.15))*1000</f>
        <v>15.936</v>
      </c>
      <c r="C31" s="14">
        <f>$C$9/($C$10^(1+(1-((A31+273.15)/$C$11))^$C$12))*$C$13</f>
        <v>1103.0</v>
      </c>
      <c r="D31" s="12">
        <f>EXP($C$14+$C$15/(A31+273.15)+$C$16*LN(A31+273.15)+$C$17*(A31+273.15)^$C$18)/1000</f>
        <v>0.004</v>
      </c>
      <c r="E31" s="9">
        <f>$C$21*B31/$B$36</f>
        <v>48.7</v>
      </c>
      <c r="F31" s="9">
        <f>$C$22-E31</f>
        <v>68.3</v>
      </c>
      <c r="G31" s="14">
        <f>$C$22</f>
        <v>117</v>
      </c>
    </row>
    <row r="32" spans="1:7">
      <c r="A32" s="6">
        <v>50</v>
      </c>
      <c r="B32" s="12">
        <f>EXP($C$6+$C$7/(A32+273.15)+$C$8*LN(A32+273.15))*1000</f>
        <v>10.995</v>
      </c>
      <c r="C32" s="14">
        <f>$C$9/($C$10^(1+(1-((A32+273.15)/$C$11))^$C$12))*$C$13</f>
        <v>1096.0</v>
      </c>
      <c r="D32" s="12">
        <f>EXP($C$14+$C$15/(A32+273.15)+$C$16*LN(A32+273.15)+$C$17*(A32+273.15)^$C$18)/1000</f>
        <v>0.01</v>
      </c>
      <c r="E32" s="9">
        <f>$C$21*B32/$B$36</f>
        <v>33.6</v>
      </c>
      <c r="F32" s="9">
        <f>$C$22-E32</f>
        <v>83.4</v>
      </c>
      <c r="G32" s="14">
        <f>$C$22</f>
        <v>117</v>
      </c>
    </row>
    <row r="33" spans="1:7">
      <c r="A33" s="6">
        <v>70</v>
      </c>
      <c r="B33" s="12">
        <f>EXP($C$6+$C$7/(A33+273.15)+$C$8*LN(A33+273.15))*1000</f>
        <v>5.831</v>
      </c>
      <c r="C33" s="14">
        <f>$C$9/($C$10^(1+(1-((A33+273.15)/$C$11))^$C$12))*$C$13</f>
        <v>1081.0</v>
      </c>
      <c r="D33" s="12">
        <f>EXP($C$14+$C$15/(A33+273.15)+$C$16*LN(A33+273.15)+$C$17*(A33+273.15)^$C$18)/1000</f>
        <v>0.043</v>
      </c>
      <c r="E33" s="9">
        <f>$C$21*B33/$B$36</f>
        <v>17.8</v>
      </c>
      <c r="F33" s="9">
        <f>$C$22-E33</f>
        <v>99.2</v>
      </c>
      <c r="G33" s="14">
        <f>$C$22</f>
        <v>117</v>
      </c>
    </row>
    <row r="34" spans="1:7">
      <c r="A34" s="6">
        <v>100</v>
      </c>
      <c r="B34" s="12">
        <f>EXP($C$6+$C$7/(A34+273.15)+$C$8*LN(A34+273.15))*1000</f>
        <v>2.81</v>
      </c>
      <c r="C34" s="14">
        <f>$C$9/($C$10^(1+(1-((A34+273.15)/$C$11))^$C$12))*$C$13</f>
        <v>1058.0</v>
      </c>
      <c r="D34" s="12">
        <f>EXP($C$14+$C$15/(A34+273.15)+$C$16*LN(A34+273.15)+$C$17*(A34+273.15)^$C$18)/1000</f>
        <v>0.298</v>
      </c>
      <c r="E34" s="9">
        <f>$C$21*B34/$B$36</f>
        <v>8.6</v>
      </c>
      <c r="F34" s="9">
        <f>$C$22-E34</f>
        <v>108.4</v>
      </c>
      <c r="G34" s="14">
        <f>$C$22</f>
        <v>117</v>
      </c>
    </row>
    <row r="35" spans="1:7">
      <c r="A35" s="6">
        <v>130</v>
      </c>
      <c r="B35" s="12">
        <f>EXP($C$6+$C$7/(A35+273.15)+$C$8*LN(A35+273.15))*1000</f>
        <v>1.663</v>
      </c>
      <c r="C35" s="14">
        <f>$C$9/($C$10^(1+(1-((A35+273.15)/$C$11))^$C$12))*$C$13</f>
        <v>1034.0</v>
      </c>
      <c r="D35" s="12">
        <f>EXP($C$14+$C$15/(A35+273.15)+$C$16*LN(A35+273.15)+$C$17*(A35+273.15)^$C$18)/1000</f>
        <v>1.487</v>
      </c>
      <c r="E35" s="9">
        <f>$C$21*B35/$B$36</f>
        <v>5.1</v>
      </c>
      <c r="F35" s="9">
        <f>$C$22-E35</f>
        <v>111.9</v>
      </c>
      <c r="G35" s="14">
        <f>$C$22</f>
        <v>117</v>
      </c>
    </row>
    <row r="36" spans="1:7">
      <c r="A36" s="6">
        <v>158.8</v>
      </c>
      <c r="B36" s="12">
        <f>EXP($C$6+$C$7/(A36+273.15)+$C$8*LN(A36+273.15))*1000</f>
        <v>1.164</v>
      </c>
      <c r="C36" s="14">
        <f>$C$9/($C$10^(1+(1-((A36+273.15)/$C$11))^$C$12))*$C$13</f>
        <v>1010.0</v>
      </c>
      <c r="D36" s="12">
        <f>EXP($C$14+$C$15/(A36+273.15)+$C$16*LN(A36+273.15)+$C$17*(A36+273.15)^$C$18)/1000</f>
        <v>5.499</v>
      </c>
      <c r="E36" s="9">
        <f>$C$21*B36/$B$36</f>
        <v>3.6</v>
      </c>
      <c r="F36" s="9">
        <f>$C$22-E36</f>
        <v>113.4</v>
      </c>
      <c r="G36" s="14">
        <f>$C$22</f>
        <v>117</v>
      </c>
    </row>
    <row r="38" spans="1:7">
      <c r="A38" s="3" t="s">
        <v>142</v>
      </c>
    </row>
    <row r="40" spans="1:7">
      <c r="A40" s="2" t="s">
        <v>143</v>
      </c>
    </row>
    <row r="41" spans="1:7">
      <c r="A41" s="2" t="s">
        <v>144</v>
      </c>
    </row>
    <row r="42" spans="1:7">
      <c r="A42" s="2" t="s">
        <v>145</v>
      </c>
    </row>
    <row r="43" spans="1:7">
      <c r="A43" s="17" t="s">
        <v>146</v>
      </c>
    </row>
    <row r="44" spans="1:7">
      <c r="A44" s="2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0_読み方</vt:lpstr>
      <vt:lpstr>①NPSH</vt:lpstr>
      <vt:lpstr>②ストレーナ</vt:lpstr>
      <vt:lpstr>③CV監視(両弁)</vt:lpstr>
      <vt:lpstr>④物性(Aspen)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2026-06-22T22:19:49Z</dcterms:created>
  <dcterms:modified xsi:type="dcterms:W3CDTF">2026-06-22T22:19:49Z</dcterms:modified>
</cp:coreProperties>
</file>