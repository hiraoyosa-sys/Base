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読み方" sheetId="1" state="visible" r:id="rId1"/>
    <sheet xmlns:r="http://schemas.openxmlformats.org/officeDocument/2006/relationships" name="①NPSH" sheetId="2" state="visible" r:id="rId2"/>
    <sheet xmlns:r="http://schemas.openxmlformats.org/officeDocument/2006/relationships" name="②ストレーナ差圧" sheetId="3" state="visible" r:id="rId3"/>
    <sheet xmlns:r="http://schemas.openxmlformats.org/officeDocument/2006/relationships" name="③CV監視" sheetId="4" state="visible" r:id="rId4"/>
    <sheet xmlns:r="http://schemas.openxmlformats.org/officeDocument/2006/relationships" name="④低温起動_物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####"/>
    <numFmt numFmtId="166" formatCode="0.00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i val="1"/>
      <color rgb="00555555"/>
      <sz val="9"/>
    </font>
    <font>
      <b val="1"/>
      <color rgb="00FFFFFF"/>
      <sz val="10"/>
    </font>
    <font>
      <b val="1"/>
      <color rgb="00C00000"/>
    </font>
    <font>
      <b val="1"/>
      <color rgb="002E7D3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1" fontId="2" fillId="4" borderId="1" pivotButton="0" quotePrefix="0" xfId="0"/>
    <xf numFmtId="2" fontId="0" fillId="3" borderId="1" pivotButton="0" quotePrefix="0" xfId="0"/>
    <xf numFmtId="166" fontId="0" fillId="0" borderId="1" pivotButton="0" quotePrefix="0" xfId="0"/>
    <xf numFmtId="2" fontId="2" fillId="4" borderId="1" pivotButton="0" quotePrefix="0" xfId="0"/>
    <xf numFmtId="166" fontId="0" fillId="3" borderId="1" pivotButton="0" quotePrefix="0" xfId="0"/>
    <xf numFmtId="1" fontId="0" fillId="3" borderId="1" pivotButton="0" quotePrefix="0" xfId="0"/>
    <xf numFmtId="1" fontId="0" fillId="0" borderId="1" pivotButton="0" quotePrefix="0" xfId="0"/>
    <xf numFmtId="164" fontId="2" fillId="4" borderId="1" pivotButton="0" quotePrefix="0" xfId="0"/>
    <xf numFmtId="2" fontId="0" fillId="0" borderId="1" pivotButton="0" quotePrefix="0" xfId="0"/>
    <xf numFmtId="164" fontId="0" fillId="5" borderId="1" pivotButton="0" quotePrefix="0" xfId="0"/>
    <xf numFmtId="164" fontId="0" fillId="4" borderId="1" pivotButton="0" quotePrefix="0" xfId="0"/>
    <xf numFmtId="2" fontId="0" fillId="4" borderId="1" pivotButton="0" quotePrefix="0" xfId="0"/>
    <xf numFmtId="1" fontId="0" fillId="4" borderId="1" pivotButton="0" quotePrefix="0" xfId="0"/>
    <xf numFmtId="166" fontId="0" fillId="4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DEG 粘度 μ vs 温度 (Aspen MULDIP)</a:t>
            </a:r>
          </a:p>
        </rich>
      </tx>
    </title>
    <plotArea>
      <lineChart>
        <grouping val="standard"/>
        <ser>
          <idx val="0"/>
          <order val="0"/>
          <tx>
            <strRef>
              <f>'④低温起動_物性'!B7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'④低温起動_物性'!$A$8:$A$17</f>
            </numRef>
          </cat>
          <val>
            <numRef>
              <f>'④低温起動_物性'!$B$8:$B$17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[℃]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μ [cP]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250クリーンΔP(T) と NPSH余力(限界117kPa)</a:t>
            </a:r>
          </a:p>
        </rich>
      </tx>
    </title>
    <plotArea>
      <lineChart>
        <grouping val="standard"/>
        <ser>
          <idx val="0"/>
          <order val="0"/>
          <tx>
            <strRef>
              <f>'④低温起動_物性'!E7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'④低温起動_物性'!$A$8:$A$17</f>
            </numRef>
          </cat>
          <val>
            <numRef>
              <f>'④低温起動_物性'!$E$8:$E$17</f>
            </numRef>
          </val>
        </ser>
        <ser>
          <idx val="1"/>
          <order val="1"/>
          <tx>
            <strRef>
              <f>'④低温起動_物性'!G7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'④低温起動_物性'!$A$8:$A$17</f>
            </numRef>
          </cat>
          <val>
            <numRef>
              <f>'④低温起動_物性'!$G$8:$G$17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[℃]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ΔP / 余力 [kPa]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52" customWidth="1" min="3" max="3"/>
  </cols>
  <sheetData>
    <row r="1">
      <c r="B1" s="1" t="inlineStr">
        <is>
          <t>P-1507 吸入ストレーナ 40→250メッシュ 技術評価（全セル=数式・グラフもExcel内）</t>
        </is>
      </c>
    </row>
    <row r="3">
      <c r="B3" s="2" t="inlineStr">
        <is>
          <t>黄=入力セル。白の結果セルはクリックで数式が見えます。入力を変えると再計算。物性はAspen物性ツール(modAspenPropData.bas)の式。</t>
        </is>
      </c>
    </row>
    <row r="5">
      <c r="B5" s="2" t="inlineStr">
        <is>
          <t>①NPSH</t>
        </is>
      </c>
      <c r="C5" s="3" t="inlineStr">
        <is>
          <t>限界ΔP=(NPSHa−NPSHr)×ρg＝余裕喪失点</t>
        </is>
      </c>
    </row>
    <row r="6">
      <c r="B6" s="2" t="inlineStr">
        <is>
          <t>②ストレーナ差圧</t>
        </is>
      </c>
      <c r="C6" s="3" t="inlineStr">
        <is>
          <t>ΔP∝1/開口比² ＋ 通過流速・Re(層流の妥当性)</t>
        </is>
      </c>
    </row>
    <row r="7">
      <c r="B7" s="2" t="inlineStr">
        <is>
          <t>③CV監視</t>
        </is>
      </c>
      <c r="C7" s="3" t="inlineStr">
        <is>
          <t>ΔPcv=SG·(Q/(K·Cv))² → 目詰まりで開度が何%動くか</t>
        </is>
      </c>
    </row>
    <row r="8">
      <c r="B8" s="2" t="inlineStr">
        <is>
          <t>④低温起動</t>
        </is>
      </c>
      <c r="C8" s="3" t="inlineStr">
        <is>
          <t>Aspen式でμ(T)/ρ(T)/Pvp(T)→ΔP(T)。グラフもこのシート内</t>
        </is>
      </c>
    </row>
  </sheetData>
  <mergeCells count="2">
    <mergeCell ref="B1:C1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50" customWidth="1" min="4" max="4"/>
  </cols>
  <sheetData>
    <row r="1">
      <c r="A1" s="1" t="inlineStr">
        <is>
          <t>① NPSH / キャビ余裕</t>
        </is>
      </c>
    </row>
    <row r="2">
      <c r="A2" s="4" t="inlineStr">
        <is>
          <t>考え方：塔頂圧≒蒸気圧で相殺→NPSHa≈静水頭で一定。削るのはストレーナΔPのみ。限界=NPSHa−NPSHrを圧力換算。</t>
        </is>
      </c>
    </row>
    <row r="4">
      <c r="A4" s="5" t="inlineStr">
        <is>
          <t>項目</t>
        </is>
      </c>
      <c r="B4" s="5" t="inlineStr">
        <is>
          <t>値/式</t>
        </is>
      </c>
      <c r="C4" s="5" t="inlineStr">
        <is>
          <t>単位</t>
        </is>
      </c>
      <c r="D4" s="5" t="inlineStr">
        <is>
          <t>注記</t>
        </is>
      </c>
    </row>
    <row r="5">
      <c r="A5" s="6" t="inlineStr">
        <is>
          <t>NPSHa（試験）</t>
        </is>
      </c>
      <c r="B5" s="7" t="n">
        <v>14</v>
      </c>
      <c r="C5" s="6" t="inlineStr">
        <is>
          <t>m</t>
        </is>
      </c>
      <c r="D5" s="4" t="inlineStr">
        <is>
          <t>入力。★基準面(ストレーナΔP込みか)要確認</t>
        </is>
      </c>
    </row>
    <row r="6">
      <c r="A6" s="6" t="inlineStr">
        <is>
          <t>NPSHr（規定流量）</t>
        </is>
      </c>
      <c r="B6" s="8" t="n">
        <v>2.2</v>
      </c>
      <c r="C6" s="6" t="inlineStr">
        <is>
          <t>m</t>
        </is>
      </c>
      <c r="D6" s="4" t="inlineStr">
        <is>
          <t>入力。★運転点2.6m³/hのNPSHr要確認</t>
        </is>
      </c>
    </row>
    <row r="7">
      <c r="A7" s="6" t="inlineStr">
        <is>
          <t>DEG密度@158.8℃</t>
        </is>
      </c>
      <c r="B7" s="8" t="n">
        <v>1010</v>
      </c>
      <c r="C7" s="6" t="inlineStr">
        <is>
          <t>kg/m³</t>
        </is>
      </c>
      <c r="D7" s="4" t="inlineStr">
        <is>
          <t>入力(Aspen DNLDIP)</t>
        </is>
      </c>
    </row>
    <row r="8">
      <c r="A8" s="6" t="inlineStr">
        <is>
          <t>重力 g</t>
        </is>
      </c>
      <c r="B8" s="8" t="n">
        <v>9.806649999999999</v>
      </c>
      <c r="C8" s="6" t="inlineStr">
        <is>
          <t>m/s²</t>
        </is>
      </c>
      <c r="D8" s="4" t="inlineStr">
        <is>
          <t>定数</t>
        </is>
      </c>
    </row>
    <row r="9">
      <c r="A9" s="6" t="inlineStr">
        <is>
          <t>NPSH余力</t>
        </is>
      </c>
      <c r="B9" s="9">
        <f>B5-B6</f>
        <v/>
      </c>
      <c r="C9" s="6" t="inlineStr">
        <is>
          <t>m</t>
        </is>
      </c>
      <c r="D9" s="4">
        <f>NPSHa−NPSHr</f>
        <v/>
      </c>
    </row>
    <row r="10">
      <c r="A10" s="10" t="inlineStr">
        <is>
          <t>限界ストレーナΔP</t>
        </is>
      </c>
      <c r="B10" s="11">
        <f>B9*B7*B8/1000</f>
        <v/>
      </c>
      <c r="C10" s="6" t="inlineStr">
        <is>
          <t>kPa</t>
        </is>
      </c>
      <c r="D10" s="4">
        <f>余力×ρ×g/1000。★余裕喪失点</f>
        <v/>
      </c>
    </row>
    <row r="12">
      <c r="A12" s="2" t="inlineStr">
        <is>
          <t>結論：通常運転(160℃)はクリーン3.6kPa(→②)＝余力の3%。管理＝ストレーナ差圧直読 vs 限界(手前で切替)。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48" customWidth="1" min="4" max="4"/>
  </cols>
  <sheetData>
    <row r="1">
      <c r="A1" s="1" t="inlineStr">
        <is>
          <t>② ストレーナ クリーン差圧 ＋ 通過流速/Re</t>
        </is>
      </c>
    </row>
    <row r="2">
      <c r="A2" s="4" t="inlineStr">
        <is>
          <t>考え方：v∝1/開口比、ΔP∝v²∝1/開口比²。Reも算出し流動域(層流→④のΔP∝μ)を確認。</t>
        </is>
      </c>
    </row>
    <row r="4">
      <c r="A4" s="5" t="inlineStr">
        <is>
          <t>項目</t>
        </is>
      </c>
      <c r="B4" s="5" t="inlineStr">
        <is>
          <t>値/式</t>
        </is>
      </c>
      <c r="C4" s="5" t="inlineStr">
        <is>
          <t>単位</t>
        </is>
      </c>
      <c r="D4" s="5" t="inlineStr">
        <is>
          <t>式・注記</t>
        </is>
      </c>
    </row>
    <row r="5">
      <c r="A5" s="6" t="inlineStr">
        <is>
          <t>開口比 40</t>
        </is>
      </c>
      <c r="B5" s="12" t="n">
        <v>0.36</v>
      </c>
      <c r="C5" s="6" t="inlineStr">
        <is>
          <t>-</t>
        </is>
      </c>
      <c r="D5" s="4" t="inlineStr">
        <is>
          <t>入力</t>
        </is>
      </c>
    </row>
    <row r="6">
      <c r="A6" s="6" t="inlineStr">
        <is>
          <t>開口比 250</t>
        </is>
      </c>
      <c r="B6" s="12" t="n">
        <v>0.27</v>
      </c>
      <c r="C6" s="6" t="inlineStr">
        <is>
          <t>-</t>
        </is>
      </c>
      <c r="D6" s="4" t="inlineStr">
        <is>
          <t>入力</t>
        </is>
      </c>
    </row>
    <row r="7">
      <c r="A7" s="6" t="inlineStr">
        <is>
          <t>40メッシュ ΔP(基準)</t>
        </is>
      </c>
      <c r="B7" s="12" t="n">
        <v>2</v>
      </c>
      <c r="C7" s="6" t="inlineStr">
        <is>
          <t>kPa</t>
        </is>
      </c>
      <c r="D7" s="4" t="inlineStr">
        <is>
          <t>入力(P&amp;ID 1.13と同オーダー,保守2.0)</t>
        </is>
      </c>
    </row>
    <row r="8">
      <c r="A8" s="6" t="inlineStr">
        <is>
          <t>通過流速比</t>
        </is>
      </c>
      <c r="B8" s="13">
        <f>B5/B6</f>
        <v/>
      </c>
      <c r="C8" s="6" t="inlineStr">
        <is>
          <t>-</t>
        </is>
      </c>
      <c r="D8" s="4">
        <f>開口比40/開口比250</f>
        <v/>
      </c>
    </row>
    <row r="9">
      <c r="A9" s="6" t="inlineStr">
        <is>
          <t>差圧比</t>
        </is>
      </c>
      <c r="B9" s="13">
        <f>B8^2</f>
        <v/>
      </c>
      <c r="C9" s="6" t="inlineStr">
        <is>
          <t>-</t>
        </is>
      </c>
      <c r="D9" s="4">
        <f>流速比²</f>
        <v/>
      </c>
    </row>
    <row r="10">
      <c r="A10" s="10" t="inlineStr">
        <is>
          <t>250 クリーンΔP@158.8℃</t>
        </is>
      </c>
      <c r="B10" s="14">
        <f>B7*B9</f>
        <v/>
      </c>
      <c r="C10" s="6" t="inlineStr">
        <is>
          <t>kPa</t>
        </is>
      </c>
      <c r="D10" s="4">
        <f>ΔP40×差圧比 ←初期は小</f>
        <v/>
      </c>
    </row>
    <row r="12">
      <c r="A12" s="2" t="inlineStr">
        <is>
          <t>― 通過流速・Re（妥当性）―</t>
        </is>
      </c>
    </row>
    <row r="13">
      <c r="A13" s="5" t="inlineStr">
        <is>
          <t>項目</t>
        </is>
      </c>
      <c r="B13" s="5" t="inlineStr">
        <is>
          <t>値/式</t>
        </is>
      </c>
      <c r="C13" s="5" t="inlineStr">
        <is>
          <t>単位</t>
        </is>
      </c>
      <c r="D13" s="5" t="inlineStr">
        <is>
          <t>式・注記</t>
        </is>
      </c>
    </row>
    <row r="14">
      <c r="A14" s="6" t="inlineStr">
        <is>
          <t>ろ過面積(円錐網)</t>
        </is>
      </c>
      <c r="B14" s="15" t="n">
        <v>100</v>
      </c>
      <c r="C14" s="6" t="inlineStr">
        <is>
          <t>cm²</t>
        </is>
      </c>
      <c r="D14" s="4" t="inlineStr">
        <is>
          <t>入力(配管断面の約4.6倍)</t>
        </is>
      </c>
    </row>
    <row r="15">
      <c r="A15" s="6" t="inlineStr">
        <is>
          <t>正味開口面積@250</t>
        </is>
      </c>
      <c r="B15" s="9">
        <f>B14*B6</f>
        <v/>
      </c>
      <c r="C15" s="6" t="inlineStr">
        <is>
          <t>cm²</t>
        </is>
      </c>
      <c r="D15" s="4">
        <f>ろ過面積×開口比250</f>
        <v/>
      </c>
    </row>
    <row r="16">
      <c r="A16" s="6" t="inlineStr">
        <is>
          <t>流量 Q</t>
        </is>
      </c>
      <c r="B16" s="15" t="n">
        <v>2.33</v>
      </c>
      <c r="C16" s="6" t="inlineStr">
        <is>
          <t>m³/h</t>
        </is>
      </c>
      <c r="D16" s="4" t="inlineStr">
        <is>
          <t>入力</t>
        </is>
      </c>
    </row>
    <row r="17">
      <c r="A17" s="6" t="inlineStr">
        <is>
          <t>通過流速 v</t>
        </is>
      </c>
      <c r="B17" s="13">
        <f>B16/3600/(B15/10000)</f>
        <v/>
      </c>
      <c r="C17" s="6" t="inlineStr">
        <is>
          <t>m/s</t>
        </is>
      </c>
      <c r="D17" s="4">
        <f>Q/正味開口面積</f>
        <v/>
      </c>
    </row>
    <row r="18">
      <c r="A18" s="6" t="inlineStr">
        <is>
          <t>目開き d(250)</t>
        </is>
      </c>
      <c r="B18" s="15" t="n">
        <v>0.062</v>
      </c>
      <c r="C18" s="6" t="inlineStr">
        <is>
          <t>mm</t>
        </is>
      </c>
      <c r="D18" s="4" t="inlineStr">
        <is>
          <t>入力(62μm)</t>
        </is>
      </c>
    </row>
    <row r="19">
      <c r="A19" s="6" t="inlineStr">
        <is>
          <t>密度 ρ@158.8</t>
        </is>
      </c>
      <c r="B19" s="15" t="n">
        <v>1010</v>
      </c>
      <c r="C19" s="6" t="inlineStr">
        <is>
          <t>kg/m³</t>
        </is>
      </c>
      <c r="D19" s="4" t="inlineStr">
        <is>
          <t>入力</t>
        </is>
      </c>
    </row>
    <row r="20">
      <c r="A20" s="6" t="inlineStr">
        <is>
          <t>粘度 μ@158.8</t>
        </is>
      </c>
      <c r="B20" s="15" t="n">
        <v>1.16</v>
      </c>
      <c r="C20" s="6" t="inlineStr">
        <is>
          <t>cP</t>
        </is>
      </c>
      <c r="D20" s="4" t="inlineStr">
        <is>
          <t>入力(④で温度依存)</t>
        </is>
      </c>
    </row>
    <row r="21">
      <c r="A21" s="10" t="inlineStr">
        <is>
          <t>孔Reynolds数</t>
        </is>
      </c>
      <c r="B21" s="11">
        <f>B19*B17*(B18/1000)/(B20/1000)</f>
        <v/>
      </c>
      <c r="C21" s="6" t="inlineStr">
        <is>
          <t>-</t>
        </is>
      </c>
      <c r="D21" s="4">
        <f>ρ·v·d/μ。低温(μ↑)でRe↓=層流→④のΔP∝μ成立</f>
        <v/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52" customWidth="1" min="4" max="4"/>
  </cols>
  <sheetData>
    <row r="1">
      <c r="A1" s="1" t="inlineStr">
        <is>
          <t>③ 制御弁FC-1531開度で閉塞監視できるか</t>
        </is>
      </c>
    </row>
    <row r="2">
      <c r="A2" s="4" t="inlineStr">
        <is>
          <t>考え方：Q一定(レベル制御)。目詰まりで吐出↓＝CV差圧↓→弁が開く。開度が何%動くか。</t>
        </is>
      </c>
    </row>
    <row r="3">
      <c r="A3" s="4" t="inlineStr">
        <is>
          <t>弁式：Q[m³/h]=K·Cv·√(ΔP[kPa]/SG)、K=0.0865(=0.865 bar系)。⇔ ΔP=SG·(Q/(K·Cv))²</t>
        </is>
      </c>
    </row>
    <row r="5">
      <c r="A5" s="5" t="inlineStr">
        <is>
          <t>項目</t>
        </is>
      </c>
      <c r="B5" s="5" t="inlineStr">
        <is>
          <t>値/式</t>
        </is>
      </c>
      <c r="C5" s="5" t="inlineStr">
        <is>
          <t>単位</t>
        </is>
      </c>
      <c r="D5" s="5" t="inlineStr">
        <is>
          <t>式・注記</t>
        </is>
      </c>
    </row>
    <row r="6">
      <c r="A6" s="6" t="inlineStr">
        <is>
          <t>流量 Q</t>
        </is>
      </c>
      <c r="B6" s="16" t="n">
        <v>2.587</v>
      </c>
      <c r="C6" s="6" t="inlineStr">
        <is>
          <t>T/H</t>
        </is>
      </c>
      <c r="D6" s="4" t="inlineStr">
        <is>
          <t>入力(DCS)</t>
        </is>
      </c>
    </row>
    <row r="7">
      <c r="A7" s="6" t="inlineStr">
        <is>
          <t>密度 ρ(冷却後~35℃)</t>
        </is>
      </c>
      <c r="B7" s="16" t="n">
        <v>1110</v>
      </c>
      <c r="C7" s="6" t="inlineStr">
        <is>
          <t>kg/m³</t>
        </is>
      </c>
      <c r="D7" s="4" t="inlineStr">
        <is>
          <t>入力(Aspen)</t>
        </is>
      </c>
    </row>
    <row r="8">
      <c r="A8" s="6" t="inlineStr">
        <is>
          <t>比重 SG</t>
        </is>
      </c>
      <c r="B8" s="13">
        <f>B7/1000</f>
        <v/>
      </c>
      <c r="C8" s="6" t="inlineStr">
        <is>
          <t>-</t>
        </is>
      </c>
      <c r="D8" s="4">
        <f>ρ/1000</f>
        <v/>
      </c>
    </row>
    <row r="9">
      <c r="A9" s="6" t="inlineStr">
        <is>
          <t>Cv 定格</t>
        </is>
      </c>
      <c r="B9" s="16" t="n">
        <v>14</v>
      </c>
      <c r="C9" s="6" t="inlineStr">
        <is>
          <t>-</t>
        </is>
      </c>
      <c r="D9" s="4" t="inlineStr">
        <is>
          <t>入力。★現行値(14 vs10/21)要確認</t>
        </is>
      </c>
    </row>
    <row r="10">
      <c r="A10" s="6" t="inlineStr">
        <is>
          <t>実Cv(開度30%)</t>
        </is>
      </c>
      <c r="B10" s="16" t="n">
        <v>1.4</v>
      </c>
      <c r="C10" s="6" t="inlineStr">
        <is>
          <t>-</t>
        </is>
      </c>
      <c r="D10" s="4" t="inlineStr">
        <is>
          <t>入力。★2014アンカー(開度59%→2.63)の外側=外挿。要確認</t>
        </is>
      </c>
    </row>
    <row r="11">
      <c r="A11" s="6" t="inlineStr">
        <is>
          <t>係数 K</t>
        </is>
      </c>
      <c r="B11" s="16" t="n">
        <v>0.08649999999999999</v>
      </c>
      <c r="C11" s="6" t="inlineStr">
        <is>
          <t>-</t>
        </is>
      </c>
      <c r="D11" s="4" t="inlineStr">
        <is>
          <t>Q=K·Cv·√(ΔP/SG)</t>
        </is>
      </c>
    </row>
    <row r="12">
      <c r="A12" s="6" t="inlineStr">
        <is>
          <t>流量 Q(体積)</t>
        </is>
      </c>
      <c r="B12" s="13">
        <f>B6*1000/B7</f>
        <v/>
      </c>
      <c r="C12" s="6" t="inlineStr">
        <is>
          <t>m³/h</t>
        </is>
      </c>
      <c r="D12" s="4">
        <f>T/H×1000/ρ</f>
        <v/>
      </c>
    </row>
    <row r="13">
      <c r="A13" s="10" t="inlineStr">
        <is>
          <t>現状 CV差圧 ΔPcv0</t>
        </is>
      </c>
      <c r="B13" s="11">
        <f>B8*(B12/(B11*B10))^2</f>
        <v/>
      </c>
      <c r="C13" s="6" t="inlineStr">
        <is>
          <t>kPa</t>
        </is>
      </c>
      <c r="D13" s="4">
        <f>SG·(Q/(K·実Cv))²。2014実測340・簡易424と同オーダー</f>
        <v/>
      </c>
    </row>
    <row r="14">
      <c r="A14" s="6" t="inlineStr">
        <is>
          <t>キャビ時 ストレーナΔPs</t>
        </is>
      </c>
      <c r="B14" s="16" t="n">
        <v>117</v>
      </c>
      <c r="C14" s="6" t="inlineStr">
        <is>
          <t>kPa</t>
        </is>
      </c>
      <c r="D14" s="4" t="inlineStr">
        <is>
          <t>入力(①の限界)</t>
        </is>
      </c>
    </row>
    <row r="15">
      <c r="A15" s="6" t="inlineStr">
        <is>
          <t>キャビ時 ΔPcv</t>
        </is>
      </c>
      <c r="B15" s="17">
        <f>B13-B14</f>
        <v/>
      </c>
      <c r="C15" s="6" t="inlineStr">
        <is>
          <t>kPa</t>
        </is>
      </c>
      <c r="D15" s="4">
        <f>ΔPcv0−ΔPs</f>
        <v/>
      </c>
    </row>
    <row r="16">
      <c r="A16" s="6" t="inlineStr">
        <is>
          <t>必要Cv倍率</t>
        </is>
      </c>
      <c r="B16" s="13">
        <f>SQRT(B13/B15)</f>
        <v/>
      </c>
      <c r="C16" s="6" t="inlineStr">
        <is>
          <t>-</t>
        </is>
      </c>
      <c r="D16" s="4">
        <f>√(ΔPcv0/ΔPcv)</f>
        <v/>
      </c>
    </row>
    <row r="17">
      <c r="A17" s="6" t="inlineStr">
        <is>
          <t>局所勾配 dln(Cv%)/dx</t>
        </is>
      </c>
      <c r="B17" s="16" t="n">
        <v>3.33</v>
      </c>
      <c r="C17" s="6" t="inlineStr">
        <is>
          <t>-</t>
        </is>
      </c>
      <c r="D17" s="4" t="inlineStr">
        <is>
          <t>入力(実測アンカー)</t>
        </is>
      </c>
    </row>
    <row r="18">
      <c r="A18" s="10" t="inlineStr">
        <is>
          <t>開度変化(クリーン→余裕喪失)</t>
        </is>
      </c>
      <c r="B18" s="18">
        <f>LN(B16)/B17*100</f>
        <v/>
      </c>
      <c r="C18" s="6" t="inlineStr">
        <is>
          <t>%</t>
        </is>
      </c>
      <c r="D18" s="4">
        <f>ln(Cv倍率)/勾配×100</f>
        <v/>
      </c>
    </row>
    <row r="20">
      <c r="A20" s="2" t="inlineStr">
        <is>
          <t>結論(頑健)：開度は+5%程度しか動かず、通常の流量変動(±5〜10%,σ3%)に埋もれる→FC開度は監視主役にできない。主指標=ストレーナ差圧直読。</t>
        </is>
      </c>
    </row>
  </sheetData>
  <mergeCells count="4">
    <mergeCell ref="A1:D1"/>
    <mergeCell ref="A20:D20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6" customWidth="1" min="5" max="5"/>
    <col width="15" customWidth="1" min="6" max="6"/>
    <col width="14" customWidth="1" min="7" max="7"/>
  </cols>
  <sheetData>
    <row r="1">
      <c r="A1" s="1" t="inlineStr">
        <is>
          <t>④ 低温起動(冷却DEG)：粘度の影響 ― Aspen物性を温度で数式化</t>
        </is>
      </c>
    </row>
    <row r="2">
      <c r="A2" s="4" t="inlineStr">
        <is>
          <t>考え方：細目網は低Re=層流でΔP∝μ。温度を変えると下表のμ/ρ/Pvp・ΔP(T)・余力残が再計算。グラフもこの表を参照(下)。</t>
        </is>
      </c>
    </row>
    <row r="4">
      <c r="A4" s="6" t="inlineStr">
        <is>
          <t>250クリーンΔP@158.8℃</t>
        </is>
      </c>
      <c r="B4" s="12" t="n">
        <v>3.56</v>
      </c>
      <c r="C4" s="6" t="inlineStr">
        <is>
          <t>kPa</t>
        </is>
      </c>
      <c r="D4" s="4" t="inlineStr">
        <is>
          <t>入力(②より)</t>
        </is>
      </c>
    </row>
    <row r="5">
      <c r="A5" s="6" t="inlineStr">
        <is>
          <t>NPSH余力</t>
        </is>
      </c>
      <c r="B5" s="16" t="n">
        <v>117</v>
      </c>
      <c r="C5" s="6" t="inlineStr">
        <is>
          <t>kPa</t>
        </is>
      </c>
      <c r="D5" s="4" t="inlineStr">
        <is>
          <t>入力(①より)</t>
        </is>
      </c>
    </row>
    <row r="7">
      <c r="A7" s="5" t="inlineStr">
        <is>
          <t>温度[℃]</t>
        </is>
      </c>
      <c r="B7" s="5" t="inlineStr">
        <is>
          <t>μ[cP]</t>
        </is>
      </c>
      <c r="C7" s="5" t="inlineStr">
        <is>
          <t>ρ[kg/m³]</t>
        </is>
      </c>
      <c r="D7" s="5" t="inlineStr">
        <is>
          <t>Pvp[kPa]</t>
        </is>
      </c>
      <c r="E7" s="5" t="inlineStr">
        <is>
          <t>250ΔP(T)[kPa]</t>
        </is>
      </c>
      <c r="F7" s="5" t="inlineStr">
        <is>
          <t>余力残[kPa]</t>
        </is>
      </c>
      <c r="G7" s="5" t="inlineStr">
        <is>
          <t>NPSH余力(限界)</t>
        </is>
      </c>
    </row>
    <row r="8">
      <c r="A8" s="7" t="n">
        <v>0</v>
      </c>
      <c r="B8" s="19">
        <f>EXP(-125.30+8891/(A8+273.15)+16.143*LN(A8+273.15))*1000</f>
        <v/>
      </c>
      <c r="C8" s="17">
        <f>0.83692/(0.26112^(1+(1-((A8+273.15)/744.6))^0.2422))*106.122</f>
        <v/>
      </c>
      <c r="D8" s="13">
        <f>EXP(74.55-10632/(A8+273.15)-6.8195*LN(A8+273.15)+9.0968E-18*(A8+273.15)^6)/1000</f>
        <v/>
      </c>
      <c r="E8" s="9">
        <f>$B$4*B8/$B$17</f>
        <v/>
      </c>
      <c r="F8" s="9">
        <f>$B$5-E8</f>
        <v/>
      </c>
      <c r="G8" s="17">
        <f>$B$5</f>
        <v/>
      </c>
    </row>
    <row r="9">
      <c r="A9" s="7" t="n">
        <v>10</v>
      </c>
      <c r="B9" s="19">
        <f>EXP(-125.30+8891/(A9+273.15)+16.143*LN(A9+273.15))*1000</f>
        <v/>
      </c>
      <c r="C9" s="17">
        <f>0.83692/(0.26112^(1+(1-((A9+273.15)/744.6))^0.2422))*106.122</f>
        <v/>
      </c>
      <c r="D9" s="13">
        <f>EXP(74.55-10632/(A9+273.15)-6.8195*LN(A9+273.15)+9.0968E-18*(A9+273.15)^6)/1000</f>
        <v/>
      </c>
      <c r="E9" s="9">
        <f>$B$4*B9/$B$17</f>
        <v/>
      </c>
      <c r="F9" s="9">
        <f>$B$5-E9</f>
        <v/>
      </c>
      <c r="G9" s="17">
        <f>$B$5</f>
        <v/>
      </c>
    </row>
    <row r="10">
      <c r="A10" s="7" t="n">
        <v>20</v>
      </c>
      <c r="B10" s="19">
        <f>EXP(-125.30+8891/(A10+273.15)+16.143*LN(A10+273.15))*1000</f>
        <v/>
      </c>
      <c r="C10" s="17">
        <f>0.83692/(0.26112^(1+(1-((A10+273.15)/744.6))^0.2422))*106.122</f>
        <v/>
      </c>
      <c r="D10" s="13">
        <f>EXP(74.55-10632/(A10+273.15)-6.8195*LN(A10+273.15)+9.0968E-18*(A10+273.15)^6)/1000</f>
        <v/>
      </c>
      <c r="E10" s="9">
        <f>$B$4*B10/$B$17</f>
        <v/>
      </c>
      <c r="F10" s="20">
        <f>$B$5-E10</f>
        <v/>
      </c>
      <c r="G10" s="17">
        <f>$B$5</f>
        <v/>
      </c>
    </row>
    <row r="11">
      <c r="A11" s="7" t="n">
        <v>25</v>
      </c>
      <c r="B11" s="19">
        <f>EXP(-125.30+8891/(A11+273.15)+16.143*LN(A11+273.15))*1000</f>
        <v/>
      </c>
      <c r="C11" s="17">
        <f>0.83692/(0.26112^(1+(1-((A11+273.15)/744.6))^0.2422))*106.122</f>
        <v/>
      </c>
      <c r="D11" s="13">
        <f>EXP(74.55-10632/(A11+273.15)-6.8195*LN(A11+273.15)+9.0968E-18*(A11+273.15)^6)/1000</f>
        <v/>
      </c>
      <c r="E11" s="9">
        <f>$B$4*B11/$B$17</f>
        <v/>
      </c>
      <c r="F11" s="20">
        <f>$B$5-E11</f>
        <v/>
      </c>
      <c r="G11" s="17">
        <f>$B$5</f>
        <v/>
      </c>
    </row>
    <row r="12">
      <c r="A12" s="7" t="n">
        <v>30</v>
      </c>
      <c r="B12" s="19">
        <f>EXP(-125.30+8891/(A12+273.15)+16.143*LN(A12+273.15))*1000</f>
        <v/>
      </c>
      <c r="C12" s="17">
        <f>0.83692/(0.26112^(1+(1-((A12+273.15)/744.6))^0.2422))*106.122</f>
        <v/>
      </c>
      <c r="D12" s="13">
        <f>EXP(74.55-10632/(A12+273.15)-6.8195*LN(A12+273.15)+9.0968E-18*(A12+273.15)^6)/1000</f>
        <v/>
      </c>
      <c r="E12" s="9">
        <f>$B$4*B12/$B$17</f>
        <v/>
      </c>
      <c r="F12" s="9">
        <f>$B$5-E12</f>
        <v/>
      </c>
      <c r="G12" s="17">
        <f>$B$5</f>
        <v/>
      </c>
    </row>
    <row r="13">
      <c r="A13" s="7" t="n">
        <v>50</v>
      </c>
      <c r="B13" s="19">
        <f>EXP(-125.30+8891/(A13+273.15)+16.143*LN(A13+273.15))*1000</f>
        <v/>
      </c>
      <c r="C13" s="17">
        <f>0.83692/(0.26112^(1+(1-((A13+273.15)/744.6))^0.2422))*106.122</f>
        <v/>
      </c>
      <c r="D13" s="13">
        <f>EXP(74.55-10632/(A13+273.15)-6.8195*LN(A13+273.15)+9.0968E-18*(A13+273.15)^6)/1000</f>
        <v/>
      </c>
      <c r="E13" s="9">
        <f>$B$4*B13/$B$17</f>
        <v/>
      </c>
      <c r="F13" s="9">
        <f>$B$5-E13</f>
        <v/>
      </c>
      <c r="G13" s="17">
        <f>$B$5</f>
        <v/>
      </c>
    </row>
    <row r="14">
      <c r="A14" s="7" t="n">
        <v>70</v>
      </c>
      <c r="B14" s="19">
        <f>EXP(-125.30+8891/(A14+273.15)+16.143*LN(A14+273.15))*1000</f>
        <v/>
      </c>
      <c r="C14" s="17">
        <f>0.83692/(0.26112^(1+(1-((A14+273.15)/744.6))^0.2422))*106.122</f>
        <v/>
      </c>
      <c r="D14" s="13">
        <f>EXP(74.55-10632/(A14+273.15)-6.8195*LN(A14+273.15)+9.0968E-18*(A14+273.15)^6)/1000</f>
        <v/>
      </c>
      <c r="E14" s="9">
        <f>$B$4*B14/$B$17</f>
        <v/>
      </c>
      <c r="F14" s="9">
        <f>$B$5-E14</f>
        <v/>
      </c>
      <c r="G14" s="17">
        <f>$B$5</f>
        <v/>
      </c>
    </row>
    <row r="15">
      <c r="A15" s="7" t="n">
        <v>100</v>
      </c>
      <c r="B15" s="19">
        <f>EXP(-125.30+8891/(A15+273.15)+16.143*LN(A15+273.15))*1000</f>
        <v/>
      </c>
      <c r="C15" s="17">
        <f>0.83692/(0.26112^(1+(1-((A15+273.15)/744.6))^0.2422))*106.122</f>
        <v/>
      </c>
      <c r="D15" s="13">
        <f>EXP(74.55-10632/(A15+273.15)-6.8195*LN(A15+273.15)+9.0968E-18*(A15+273.15)^6)/1000</f>
        <v/>
      </c>
      <c r="E15" s="9">
        <f>$B$4*B15/$B$17</f>
        <v/>
      </c>
      <c r="F15" s="9">
        <f>$B$5-E15</f>
        <v/>
      </c>
      <c r="G15" s="17">
        <f>$B$5</f>
        <v/>
      </c>
    </row>
    <row r="16">
      <c r="A16" s="7" t="n">
        <v>130</v>
      </c>
      <c r="B16" s="19">
        <f>EXP(-125.30+8891/(A16+273.15)+16.143*LN(A16+273.15))*1000</f>
        <v/>
      </c>
      <c r="C16" s="17">
        <f>0.83692/(0.26112^(1+(1-((A16+273.15)/744.6))^0.2422))*106.122</f>
        <v/>
      </c>
      <c r="D16" s="13">
        <f>EXP(74.55-10632/(A16+273.15)-6.8195*LN(A16+273.15)+9.0968E-18*(A16+273.15)^6)/1000</f>
        <v/>
      </c>
      <c r="E16" s="9">
        <f>$B$4*B16/$B$17</f>
        <v/>
      </c>
      <c r="F16" s="9">
        <f>$B$5-E16</f>
        <v/>
      </c>
      <c r="G16" s="17">
        <f>$B$5</f>
        <v/>
      </c>
    </row>
    <row r="17">
      <c r="A17" s="21" t="n">
        <v>158.8</v>
      </c>
      <c r="B17" s="22">
        <f>EXP(-125.30+8891/(A17+273.15)+16.143*LN(A17+273.15))*1000</f>
        <v/>
      </c>
      <c r="C17" s="23">
        <f>0.83692/(0.26112^(1+(1-((A17+273.15)/744.6))^0.2422))*106.122</f>
        <v/>
      </c>
      <c r="D17" s="24">
        <f>EXP(74.55-10632/(A17+273.15)-6.8195*LN(A17+273.15)+9.0968E-18*(A17+273.15)^6)/1000</f>
        <v/>
      </c>
      <c r="E17" s="21">
        <f>$B$4*B17/$B$17</f>
        <v/>
      </c>
      <c r="F17" s="21">
        <f>$B$5-E17</f>
        <v/>
      </c>
      <c r="G17" s="23">
        <f>$B$5</f>
        <v/>
      </c>
    </row>
    <row r="19">
      <c r="A19" s="4" t="inlineStr">
        <is>
          <t>検証(開けば計算)：158.8℃→μ≈1.16/ρ≈1010/Pvp≈5.5。MULDIP適用270–450K内。</t>
        </is>
      </c>
    </row>
    <row r="21">
      <c r="A21" s="2" t="inlineStr">
        <is>
          <t>結論(条件付き)：</t>
        </is>
      </c>
    </row>
    <row r="22">
      <c r="A22" s="3" t="inlineStr">
        <is>
          <t>・通常運転(150〜160℃)は問題なし。</t>
        </is>
      </c>
    </row>
    <row r="23">
      <c r="A23" s="3" t="inlineStr">
        <is>
          <t>・上表は『定格流量×完全層流×定常NPSH』の最悪上限。20℃でクリーンΔPが余力117kPaにほぼ達する。</t>
        </is>
      </c>
    </row>
    <row r="24">
      <c r="A24" s="25" t="inlineStr">
        <is>
          <t>・緩和：(1)起動は低流量→ΔP∝vで低下、(2)低温でPvp激減→NPSHa改善。無条件にキャビとは断定しない。</t>
        </is>
      </c>
    </row>
    <row r="25">
      <c r="A25" s="2" t="inlineStr">
        <is>
          <t>→ 対策で回避可：(a)~50℃以上へ暖機/循環、(b)冷態は40メッシュ、(c)低流量起動。実機は差圧直読で確認。</t>
        </is>
      </c>
    </row>
  </sheetData>
  <mergeCells count="8">
    <mergeCell ref="A1:G1"/>
    <mergeCell ref="A21:G21"/>
    <mergeCell ref="A22:G22"/>
    <mergeCell ref="A24:G24"/>
    <mergeCell ref="A2:G2"/>
    <mergeCell ref="A25:G25"/>
    <mergeCell ref="A19:G19"/>
    <mergeCell ref="A23:G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2026-06-18T20:40:55Z</dcterms:created>
  <dcterms:modified xmlns:dcterms="http://purl.org/dc/terms/" xmlns:xsi="http://www.w3.org/2001/XMLSchema-instance" xsi:type="dcterms:W3CDTF">2026-06-18T20:41:14Z</dcterms:modified>
</cp:coreProperties>
</file>