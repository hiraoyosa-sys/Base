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読み方" sheetId="1" state="visible" r:id="rId3"/>
    <sheet name="計算原理" sheetId="2" state="visible" r:id="rId4"/>
    <sheet name="確率DB" sheetId="3" state="visible" r:id="rId5"/>
    <sheet name="シナリオ計算" sheetId="4" state="visible" r:id="rId6"/>
    <sheet name="例題_V1204" sheetId="5" state="visible" r:id="rId7"/>
    <sheet name="リスクマトリックス" sheetId="6" state="visible" r:id="rId8"/>
  </sheets>
  <definedNames>
    <definedName function="false" hidden="false" name="DB_KEYS" vbProcedure="false">確率DB!$B$4:$B$27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<sst xmlns="http://schemas.openxmlformats.org/spreadsheetml/2006/main" count="376" uniqueCount="262">
  <si>
    <r>
      <rPr>
        <b val="true"/>
        <sz val="14"/>
        <rFont val="Yu Gothic"/>
        <family val="0"/>
        <charset val="1"/>
      </rPr>
      <t xml:space="preserve">HAZchart </t>
    </r>
    <r>
      <rPr>
        <b val="true"/>
        <sz val="14"/>
        <rFont val="WenQuanYi Zen Hei"/>
        <family val="2"/>
      </rPr>
      <t xml:space="preserve">簡易評価ワークブック（計算原理＋確率</t>
    </r>
    <r>
      <rPr>
        <b val="true"/>
        <sz val="14"/>
        <rFont val="Yu Gothic"/>
        <family val="0"/>
        <charset val="1"/>
      </rPr>
      <t xml:space="preserve">DB</t>
    </r>
    <r>
      <rPr>
        <b val="true"/>
        <sz val="14"/>
        <rFont val="WenQuanYi Zen Hei"/>
        <family val="2"/>
      </rPr>
      <t xml:space="preserve">＋シナリオシミュレーション）</t>
    </r>
  </si>
  <si>
    <r>
      <rPr>
        <sz val="9"/>
        <color rgb="FF595959"/>
        <rFont val="WenQuanYi Zen Hei"/>
        <family val="2"/>
      </rPr>
      <t xml:space="preserve">作成 </t>
    </r>
    <r>
      <rPr>
        <sz val="9"/>
        <color rgb="FF595959"/>
        <rFont val="Yu Gothic"/>
        <family val="0"/>
        <charset val="1"/>
      </rPr>
      <t xml:space="preserve">2026-07-21</t>
    </r>
    <r>
      <rPr>
        <sz val="9"/>
        <color rgb="FF595959"/>
        <rFont val="WenQuanYi Zen Hei"/>
        <family val="2"/>
      </rPr>
      <t xml:space="preserve">。確率</t>
    </r>
    <r>
      <rPr>
        <sz val="9"/>
        <color rgb="FF595959"/>
        <rFont val="Yu Gothic"/>
        <family val="0"/>
        <charset val="1"/>
      </rPr>
      <t xml:space="preserve">DB</t>
    </r>
    <r>
      <rPr>
        <sz val="9"/>
        <color rgb="FF595959"/>
        <rFont val="WenQuanYi Zen Hei"/>
        <family val="2"/>
      </rPr>
      <t xml:space="preserve">の出典</t>
    </r>
    <r>
      <rPr>
        <sz val="9"/>
        <color rgb="FF595959"/>
        <rFont val="Yu Gothic"/>
        <family val="0"/>
        <charset val="1"/>
      </rPr>
      <t xml:space="preserve">: project.pha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Yu Gothic"/>
        <family val="0"/>
        <charset val="1"/>
      </rPr>
      <t xml:space="preserve">PHA_Organizer 3.1.1</t>
    </r>
    <r>
      <rPr>
        <sz val="9"/>
        <color rgb="FF595959"/>
        <rFont val="WenQuanYi Zen Hei"/>
        <family val="2"/>
      </rPr>
      <t xml:space="preserve">）設定値を抽出 </t>
    </r>
    <r>
      <rPr>
        <sz val="9"/>
        <color rgb="FF595959"/>
        <rFont val="Yu Gothic"/>
        <family val="0"/>
        <charset val="1"/>
      </rPr>
      <t xml:space="preserve">2026-07-21</t>
    </r>
  </si>
  <si>
    <t xml:space="preserve">目的</t>
  </si>
  <si>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を使わずに、</t>
    </r>
    <r>
      <rPr>
        <sz val="10"/>
        <rFont val="Yu Gothic"/>
        <family val="0"/>
        <charset val="1"/>
      </rPr>
      <t xml:space="preserve">HAZchart</t>
    </r>
    <r>
      <rPr>
        <sz val="10"/>
        <rFont val="WenQuanYi Zen Hei"/>
        <family val="2"/>
      </rPr>
      <t xml:space="preserve">の確率計算の仕組みを理解し、シナリオを組んだときの事故頻度と安全対策（防護層の追加・削除）の効果を</t>
    </r>
    <r>
      <rPr>
        <sz val="10"/>
        <rFont val="Yu Gothic"/>
        <family val="0"/>
        <charset val="1"/>
      </rPr>
      <t xml:space="preserve">Excel</t>
    </r>
    <r>
      <rPr>
        <sz val="10"/>
        <rFont val="WenQuanYi Zen Hei"/>
        <family val="2"/>
      </rPr>
      <t xml:space="preserve">上で素早く定量評価する。</t>
    </r>
  </si>
  <si>
    <t xml:space="preserve">位置づけ</t>
  </si>
  <si>
    <r>
      <rPr>
        <sz val="10"/>
        <rFont val="WenQuanYi Zen Hei"/>
        <family val="2"/>
      </rPr>
      <t xml:space="preserve">簡易評価用（オーダー確認・感度検討）。正式なリスク評価は</t>
    </r>
    <r>
      <rPr>
        <sz val="10"/>
        <rFont val="Yu Gothic"/>
        <family val="0"/>
        <charset val="1"/>
      </rPr>
      <t xml:space="preserve">HAZchart</t>
    </r>
    <r>
      <rPr>
        <sz val="10"/>
        <rFont val="WenQuanYi Zen Hei"/>
        <family val="2"/>
      </rPr>
      <t xml:space="preserve">解析基準（</t>
    </r>
    <r>
      <rPr>
        <sz val="10"/>
        <rFont val="Yu Gothic"/>
        <family val="0"/>
        <charset val="1"/>
      </rPr>
      <t xml:space="preserve">C-2-3</t>
    </r>
    <r>
      <rPr>
        <sz val="10"/>
        <rFont val="WenQuanYi Zen Hei"/>
        <family val="2"/>
      </rPr>
      <t xml:space="preserve">）に基づき</t>
    </r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で実施する。本ブックの結果はその代替にはならない。</t>
    </r>
  </si>
  <si>
    <t xml:space="preserve">シート構成</t>
  </si>
  <si>
    <r>
      <rPr>
        <sz val="10"/>
        <rFont val="WenQuanYi Zen Hei"/>
        <family val="2"/>
      </rPr>
      <t xml:space="preserve">「計算原理」…計算の仕組みの説明。 「確率</t>
    </r>
    <r>
      <rPr>
        <sz val="10"/>
        <rFont val="Yu Gothic"/>
        <family val="0"/>
        <charset val="1"/>
      </rPr>
      <t xml:space="preserve">DB</t>
    </r>
    <r>
      <rPr>
        <sz val="10"/>
        <rFont val="WenQuanYi Zen Hei"/>
        <family val="2"/>
      </rPr>
      <t xml:space="preserve">」…既存テンプレートの故障率・デマンド確率の一覧（別シート切り分け）。 「シナリオ計算」…シナリオを組んで頻度を計算するシミュレーター。 「例題</t>
    </r>
    <r>
      <rPr>
        <sz val="10"/>
        <rFont val="Yu Gothic"/>
        <family val="0"/>
        <charset val="1"/>
      </rPr>
      <t xml:space="preserve">_V1204</t>
    </r>
    <r>
      <rPr>
        <sz val="10"/>
        <rFont val="WenQuanYi Zen Hei"/>
        <family val="2"/>
      </rPr>
      <t xml:space="preserve">」…アップロードされたプロジェクトの再現例と検算。 「リスクマトリックス」…頻度・影響度の判定表（仮置き）。</t>
    </r>
  </si>
  <si>
    <r>
      <rPr>
        <b val="true"/>
        <sz val="10"/>
        <rFont val="WenQuanYi Zen Hei"/>
        <family val="2"/>
      </rPr>
      <t xml:space="preserve">使い方</t>
    </r>
    <r>
      <rPr>
        <b val="true"/>
        <sz val="10"/>
        <rFont val="Yu Gothic"/>
        <family val="0"/>
        <charset val="1"/>
      </rPr>
      <t xml:space="preserve">(1)</t>
    </r>
  </si>
  <si>
    <r>
      <rPr>
        <sz val="10"/>
        <rFont val="WenQuanYi Zen Hei"/>
        <family val="2"/>
      </rPr>
      <t xml:space="preserve">「シナリオ計算」で起因事象の構成要素をドロップダウンから選ぶ。制御弁の開度異常は「検出器＋</t>
    </r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＋操作端」の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要素を選ぶと制御ループ故障の合計になる。</t>
    </r>
  </si>
  <si>
    <r>
      <rPr>
        <b val="true"/>
        <sz val="10"/>
        <rFont val="WenQuanYi Zen Hei"/>
        <family val="2"/>
      </rPr>
      <t xml:space="preserve">使い方</t>
    </r>
    <r>
      <rPr>
        <b val="true"/>
        <sz val="10"/>
        <rFont val="Yu Gothic"/>
        <family val="0"/>
        <charset val="1"/>
      </rPr>
      <t xml:space="preserve">(2)</t>
    </r>
  </si>
  <si>
    <r>
      <rPr>
        <sz val="10"/>
        <rFont val="WenQuanYi Zen Hei"/>
        <family val="2"/>
      </rPr>
      <t xml:space="preserve">防護層を上から通過する順に並べる。各層の構成要素を選ぶと、その層が失敗する確率（</t>
    </r>
    <r>
      <rPr>
        <sz val="10"/>
        <rFont val="Yu Gothic"/>
        <family val="0"/>
        <charset val="1"/>
      </rPr>
      <t xml:space="preserve">PFD</t>
    </r>
    <r>
      <rPr>
        <sz val="10"/>
        <rFont val="WenQuanYi Zen Hei"/>
        <family val="2"/>
      </rPr>
      <t xml:space="preserve">）が自動計算される。</t>
    </r>
  </si>
  <si>
    <r>
      <rPr>
        <b val="true"/>
        <sz val="10"/>
        <rFont val="WenQuanYi Zen Hei"/>
        <family val="2"/>
      </rPr>
      <t xml:space="preserve">使い方</t>
    </r>
    <r>
      <rPr>
        <b val="true"/>
        <sz val="10"/>
        <rFont val="Yu Gothic"/>
        <family val="0"/>
        <charset val="1"/>
      </rPr>
      <t xml:space="preserve">(3)</t>
    </r>
  </si>
  <si>
    <r>
      <rPr>
        <sz val="10"/>
        <rFont val="WenQuanYi Zen Hei"/>
        <family val="2"/>
      </rPr>
      <t xml:space="preserve">「有効」列を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から</t>
    </r>
    <r>
      <rPr>
        <sz val="10"/>
        <rFont val="Yu Gothic"/>
        <family val="0"/>
        <charset val="1"/>
      </rPr>
      <t xml:space="preserve">0</t>
    </r>
    <r>
      <rPr>
        <sz val="10"/>
        <rFont val="WenQuanYi Zen Hei"/>
        <family val="2"/>
      </rPr>
      <t xml:space="preserve">に切り替えると、その層が無い場合の頻度が即座に分かる。逆に空いている行に層を追加すれば、インターロック等を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つ追加した効果が定量で見える。</t>
    </r>
  </si>
  <si>
    <t xml:space="preserve">凡例</t>
  </si>
  <si>
    <t xml:space="preserve">黄色塗り＝触って試すセル（青字）。 白地の黒字＝自動計算（触らない）。 灰色＝見出し。</t>
  </si>
  <si>
    <t xml:space="preserve">注意（重要）</t>
  </si>
  <si>
    <r>
      <rPr>
        <sz val="10"/>
        <rFont val="WenQuanYi Zen Hei"/>
        <family val="2"/>
      </rPr>
      <t xml:space="preserve">・同じ要素（例</t>
    </r>
    <r>
      <rPr>
        <sz val="10"/>
        <rFont val="Yu Gothic"/>
        <family val="0"/>
        <charset val="1"/>
      </rPr>
      <t xml:space="preserve">: DCS</t>
    </r>
    <r>
      <rPr>
        <sz val="10"/>
        <rFont val="WenQuanYi Zen Hei"/>
        <family val="2"/>
      </rPr>
      <t xml:space="preserve">、同一の検出器）が複数の層に入る場合、単純な掛け算は頻度を過小評価する（コモン事象）。同一要素は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つの層にだけ入れること。厳密な扱いは</t>
    </r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のミニマルカットセット計算で行う。</t>
    </r>
  </si>
  <si>
    <r>
      <rPr>
        <sz val="10"/>
        <rFont val="WenQuanYi Zen Hei"/>
        <family val="2"/>
      </rPr>
      <t xml:space="preserve">・層の</t>
    </r>
    <r>
      <rPr>
        <sz val="10"/>
        <rFont val="Yu Gothic"/>
        <family val="0"/>
        <charset val="1"/>
      </rPr>
      <t xml:space="preserve">PFD</t>
    </r>
    <r>
      <rPr>
        <sz val="10"/>
        <rFont val="WenQuanYi Zen Hei"/>
        <family val="2"/>
      </rPr>
      <t xml:space="preserve">は構成要素の和で近似している（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近似）。合計が</t>
    </r>
    <r>
      <rPr>
        <sz val="10"/>
        <rFont val="Yu Gothic"/>
        <family val="0"/>
        <charset val="1"/>
      </rPr>
      <t xml:space="preserve">0.1</t>
    </r>
    <r>
      <rPr>
        <sz val="10"/>
        <rFont val="WenQuanYi Zen Hei"/>
        <family val="2"/>
      </rPr>
      <t xml:space="preserve">を超えるあたりから過大側にずれる（安全側）。</t>
    </r>
  </si>
  <si>
    <r>
      <rPr>
        <sz val="10"/>
        <rFont val="WenQuanYi Zen Hei"/>
        <family val="2"/>
      </rPr>
      <t xml:space="preserve">・リスクマトリックスの区分・ゾーン割付は一般形の仮置き。</t>
    </r>
    <r>
      <rPr>
        <sz val="10"/>
        <rFont val="Yu Gothic"/>
        <family val="0"/>
        <charset val="1"/>
      </rPr>
      <t xml:space="preserve">C-2-3</t>
    </r>
    <r>
      <rPr>
        <sz val="10"/>
        <rFont val="WenQuanYi Zen Hei"/>
        <family val="2"/>
      </rPr>
      <t xml:space="preserve">の正式な表と照合して確定すること（要確認）。</t>
    </r>
  </si>
  <si>
    <r>
      <rPr>
        <b val="true"/>
        <sz val="14"/>
        <rFont val="Yu Gothic"/>
        <family val="0"/>
        <charset val="1"/>
      </rPr>
      <t xml:space="preserve">HAZchart</t>
    </r>
    <r>
      <rPr>
        <b val="true"/>
        <sz val="14"/>
        <rFont val="WenQuanYi Zen Hei"/>
        <family val="2"/>
      </rPr>
      <t xml:space="preserve">の確率計算の原理</t>
    </r>
  </si>
  <si>
    <r>
      <rPr>
        <b val="true"/>
        <sz val="11"/>
        <rFont val="Yu Gothic"/>
        <family val="0"/>
        <charset val="1"/>
      </rPr>
      <t xml:space="preserve">1. </t>
    </r>
    <r>
      <rPr>
        <b val="true"/>
        <sz val="11"/>
        <rFont val="WenQuanYi Zen Hei"/>
        <family val="2"/>
      </rPr>
      <t xml:space="preserve">解析の</t>
    </r>
    <r>
      <rPr>
        <b val="true"/>
        <sz val="11"/>
        <rFont val="Yu Gothic"/>
        <family val="0"/>
        <charset val="1"/>
      </rPr>
      <t xml:space="preserve">4</t>
    </r>
    <r>
      <rPr>
        <b val="true"/>
        <sz val="11"/>
        <rFont val="WenQuanYi Zen Hei"/>
        <family val="2"/>
      </rPr>
      <t xml:space="preserve">ステップ</t>
    </r>
  </si>
  <si>
    <r>
      <rPr>
        <b val="true"/>
        <sz val="10"/>
        <rFont val="WenQuanYi Zen Hei"/>
        <family val="2"/>
      </rPr>
      <t xml:space="preserve">ステップ</t>
    </r>
    <r>
      <rPr>
        <b val="true"/>
        <sz val="10"/>
        <rFont val="Yu Gothic"/>
        <family val="0"/>
        <charset val="1"/>
      </rPr>
      <t xml:space="preserve">1</t>
    </r>
  </si>
  <si>
    <r>
      <rPr>
        <sz val="10"/>
        <rFont val="Yu Gothic"/>
        <family val="0"/>
        <charset val="1"/>
      </rPr>
      <t xml:space="preserve">What-if</t>
    </r>
    <r>
      <rPr>
        <sz val="10"/>
        <rFont val="WenQuanYi Zen Hei"/>
        <family val="2"/>
      </rPr>
      <t xml:space="preserve">で事故シナリオを作る（起因事象＝機器の故障モード。防護層は無いものとして展開）</t>
    </r>
  </si>
  <si>
    <r>
      <rPr>
        <b val="true"/>
        <sz val="10"/>
        <rFont val="WenQuanYi Zen Hei"/>
        <family val="2"/>
      </rPr>
      <t xml:space="preserve">ステップ</t>
    </r>
    <r>
      <rPr>
        <b val="true"/>
        <sz val="10"/>
        <rFont val="Yu Gothic"/>
        <family val="0"/>
        <charset val="1"/>
      </rPr>
      <t xml:space="preserve">2</t>
    </r>
  </si>
  <si>
    <r>
      <rPr>
        <sz val="10"/>
        <rFont val="Yu Gothic"/>
        <family val="0"/>
        <charset val="1"/>
      </rPr>
      <t xml:space="preserve">HAZchart</t>
    </r>
    <r>
      <rPr>
        <sz val="10"/>
        <rFont val="WenQuanYi Zen Hei"/>
        <family val="2"/>
      </rPr>
      <t xml:space="preserve">を描く（状態変化の認知手段、回復動作、失敗したときの次の状態、を繰り返す）</t>
    </r>
  </si>
  <si>
    <r>
      <rPr>
        <b val="true"/>
        <sz val="10"/>
        <rFont val="WenQuanYi Zen Hei"/>
        <family val="2"/>
      </rPr>
      <t xml:space="preserve">ステップ</t>
    </r>
    <r>
      <rPr>
        <b val="true"/>
        <sz val="10"/>
        <rFont val="Yu Gothic"/>
        <family val="0"/>
        <charset val="1"/>
      </rPr>
      <t xml:space="preserve">3</t>
    </r>
  </si>
  <si>
    <r>
      <rPr>
        <sz val="10"/>
        <rFont val="Yu Gothic"/>
        <family val="0"/>
        <charset val="1"/>
      </rPr>
      <t xml:space="preserve">FT</t>
    </r>
    <r>
      <rPr>
        <sz val="10"/>
        <rFont val="WenQuanYi Zen Hei"/>
        <family val="2"/>
      </rPr>
      <t xml:space="preserve">（フォールトツリー）に変換する（最終事象を頂上に置き、状態変化と防護失敗を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で結ぶ）</t>
    </r>
  </si>
  <si>
    <r>
      <rPr>
        <b val="true"/>
        <sz val="10"/>
        <rFont val="WenQuanYi Zen Hei"/>
        <family val="2"/>
      </rPr>
      <t xml:space="preserve">ステップ</t>
    </r>
    <r>
      <rPr>
        <b val="true"/>
        <sz val="10"/>
        <rFont val="Yu Gothic"/>
        <family val="0"/>
        <charset val="1"/>
      </rPr>
      <t xml:space="preserve">4</t>
    </r>
  </si>
  <si>
    <t xml:space="preserve">故障率・ヒューマンエラー確率を入れて最終事象の発生頻度を計算し、リスクマトリックスで評価する</t>
  </si>
  <si>
    <r>
      <rPr>
        <b val="true"/>
        <sz val="11"/>
        <rFont val="Yu Gothic"/>
        <family val="0"/>
        <charset val="1"/>
      </rPr>
      <t xml:space="preserve">2. </t>
    </r>
    <r>
      <rPr>
        <b val="true"/>
        <sz val="11"/>
        <rFont val="WenQuanYi Zen Hei"/>
        <family val="2"/>
      </rPr>
      <t xml:space="preserve">確率は</t>
    </r>
    <r>
      <rPr>
        <b val="true"/>
        <sz val="11"/>
        <rFont val="Yu Gothic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種類ある</t>
    </r>
  </si>
  <si>
    <r>
      <rPr>
        <b val="true"/>
        <sz val="10"/>
        <rFont val="WenQuanYi Zen Hei"/>
        <family val="2"/>
      </rPr>
      <t xml:space="preserve">時間確率 </t>
    </r>
    <r>
      <rPr>
        <b val="true"/>
        <sz val="10"/>
        <rFont val="Yu Gothic"/>
        <family val="0"/>
        <charset val="1"/>
      </rPr>
      <t xml:space="preserve">λ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Yu Gothic"/>
        <family val="0"/>
        <charset val="1"/>
      </rPr>
      <t xml:space="preserve">/hr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</si>
  <si>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運転中いつでも起こりうる故障の発生率。起因事象に使う。年間頻度＝</t>
    </r>
    <r>
      <rPr>
        <sz val="10"/>
        <rFont val="Yu Gothic"/>
        <family val="0"/>
        <charset val="1"/>
      </rPr>
      <t xml:space="preserve">λ×</t>
    </r>
    <r>
      <rPr>
        <sz val="10"/>
        <rFont val="WenQuanYi Zen Hei"/>
        <family val="2"/>
      </rPr>
      <t xml:space="preserve">年間稼働時間</t>
    </r>
    <r>
      <rPr>
        <sz val="10"/>
        <rFont val="Yu Gothic"/>
        <family val="0"/>
        <charset val="1"/>
      </rPr>
      <t xml:space="preserve">H</t>
    </r>
    <r>
      <rPr>
        <sz val="10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</si>
  <si>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デマンド確率（</t>
    </r>
    <r>
      <rPr>
        <b val="true"/>
        <sz val="10"/>
        <rFont val="Yu Gothic"/>
        <family val="0"/>
        <charset val="1"/>
      </rPr>
      <t xml:space="preserve">/d</t>
    </r>
    <r>
      <rPr>
        <b val="true"/>
        <sz val="10"/>
        <rFont val="WenQuanYi Zen Hei"/>
        <family val="2"/>
      </rPr>
      <t xml:space="preserve">）</t>
    </r>
  </si>
  <si>
    <t xml:space="preserve">「要求されたときに動かない確率」。検出・警報・人の対処・インターロック・安全弁など防護層に使う。</t>
  </si>
  <si>
    <r>
      <rPr>
        <b val="true"/>
        <sz val="11"/>
        <rFont val="Yu Gothic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基本式（この</t>
    </r>
    <r>
      <rPr>
        <b val="true"/>
        <sz val="11"/>
        <rFont val="Yu Gothic"/>
        <family val="0"/>
        <charset val="1"/>
      </rPr>
      <t xml:space="preserve">4</t>
    </r>
    <r>
      <rPr>
        <b val="true"/>
        <sz val="11"/>
        <rFont val="WenQuanYi Zen Hei"/>
        <family val="2"/>
      </rPr>
      <t xml:space="preserve">つだけ）</t>
    </r>
  </si>
  <si>
    <t xml:space="preserve">起因事象の頻度</t>
  </si>
  <si>
    <r>
      <rPr>
        <sz val="10"/>
        <rFont val="Yu Gothic"/>
        <family val="0"/>
        <charset val="1"/>
      </rPr>
      <t xml:space="preserve">F0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年） ＝ </t>
    </r>
    <r>
      <rPr>
        <sz val="10"/>
        <rFont val="Yu Gothic"/>
        <family val="0"/>
        <charset val="1"/>
      </rPr>
      <t xml:space="preserve">λ</t>
    </r>
    <r>
      <rPr>
        <sz val="10"/>
        <rFont val="WenQuanYi Zen Hei"/>
        <family val="2"/>
      </rPr>
      <t xml:space="preserve">合計（</t>
    </r>
    <r>
      <rPr>
        <sz val="10"/>
        <rFont val="Yu Gothic"/>
        <family val="0"/>
        <charset val="1"/>
      </rPr>
      <t xml:space="preserve">/hr</t>
    </r>
    <r>
      <rPr>
        <sz val="10"/>
        <rFont val="WenQuanYi Zen Hei"/>
        <family val="2"/>
      </rPr>
      <t xml:space="preserve">） </t>
    </r>
    <r>
      <rPr>
        <sz val="10"/>
        <rFont val="Yu Gothic"/>
        <family val="0"/>
        <charset val="1"/>
      </rPr>
      <t xml:space="preserve">× </t>
    </r>
    <r>
      <rPr>
        <sz val="10"/>
        <rFont val="WenQuanYi Zen Hei"/>
        <family val="2"/>
      </rPr>
      <t xml:space="preserve">年間稼働時間</t>
    </r>
    <r>
      <rPr>
        <sz val="10"/>
        <rFont val="Yu Gothic"/>
        <family val="0"/>
        <charset val="1"/>
      </rPr>
      <t xml:space="preserve">H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h/</t>
    </r>
    <r>
      <rPr>
        <sz val="10"/>
        <rFont val="WenQuanYi Zen Hei"/>
        <family val="2"/>
      </rPr>
      <t xml:space="preserve">年）。制御ループの開度異常などは、検出器＋</t>
    </r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＋操作端の</t>
    </r>
    <r>
      <rPr>
        <sz val="10"/>
        <rFont val="Yu Gothic"/>
        <family val="0"/>
        <charset val="1"/>
      </rPr>
      <t xml:space="preserve">λ</t>
    </r>
    <r>
      <rPr>
        <sz val="10"/>
        <rFont val="WenQuanYi Zen Hei"/>
        <family val="2"/>
      </rPr>
      <t xml:space="preserve">の和（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ゲート）。</t>
    </r>
  </si>
  <si>
    <t xml:space="preserve">最終事象の頻度</t>
  </si>
  <si>
    <r>
      <rPr>
        <sz val="10"/>
        <rFont val="Yu Gothic"/>
        <family val="0"/>
        <charset val="1"/>
      </rPr>
      <t xml:space="preserve">F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年） ＝ </t>
    </r>
    <r>
      <rPr>
        <sz val="10"/>
        <rFont val="Yu Gothic"/>
        <family val="0"/>
        <charset val="1"/>
      </rPr>
      <t xml:space="preserve">F0 × PFD</t>
    </r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1 × PFD</t>
    </r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2 × …</t>
    </r>
    <r>
      <rPr>
        <sz val="10"/>
        <rFont val="WenQuanYi Zen Hei"/>
        <family val="2"/>
      </rPr>
      <t xml:space="preserve">。防護層は「すべて失敗したとき」だけ最終事象に至るので</t>
    </r>
    <r>
      <rPr>
        <sz val="10"/>
        <rFont val="Yu Gothic"/>
        <family val="0"/>
        <charset val="1"/>
      </rPr>
      <t xml:space="preserve">AND</t>
    </r>
    <r>
      <rPr>
        <sz val="10"/>
        <rFont val="WenQuanYi Zen Hei"/>
        <family val="2"/>
      </rPr>
      <t xml:space="preserve">ゲート＝掛け算。</t>
    </r>
  </si>
  <si>
    <r>
      <rPr>
        <b val="true"/>
        <sz val="10"/>
        <rFont val="WenQuanYi Zen Hei"/>
        <family val="2"/>
      </rPr>
      <t xml:space="preserve">層の</t>
    </r>
    <r>
      <rPr>
        <b val="true"/>
        <sz val="10"/>
        <rFont val="Yu Gothic"/>
        <family val="0"/>
        <charset val="1"/>
      </rPr>
      <t xml:space="preserve">PFD</t>
    </r>
    <r>
      <rPr>
        <b val="true"/>
        <sz val="10"/>
        <rFont val="WenQuanYi Zen Hei"/>
        <family val="2"/>
      </rPr>
      <t xml:space="preserve">（失敗確率）</t>
    </r>
  </si>
  <si>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PFD ≒ </t>
    </r>
    <r>
      <rPr>
        <sz val="10"/>
        <rFont val="WenQuanYi Zen Hei"/>
        <family val="2"/>
      </rPr>
      <t xml:space="preserve">構成要素のデマンド確率の和（</t>
    </r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ゲートの近似）。厳密には </t>
    </r>
    <r>
      <rPr>
        <sz val="10"/>
        <rFont val="Yu Gothic"/>
        <family val="0"/>
        <charset val="1"/>
      </rPr>
      <t xml:space="preserve">1−(1−P1)×(1−P2)×… </t>
    </r>
    <r>
      <rPr>
        <sz val="10"/>
        <rFont val="WenQuanYi Zen Hei"/>
        <family val="2"/>
      </rPr>
      <t xml:space="preserve">だが、</t>
    </r>
    <r>
      <rPr>
        <sz val="10"/>
        <rFont val="Yu Gothic"/>
        <family val="0"/>
        <charset val="1"/>
      </rPr>
      <t xml:space="preserve">P</t>
    </r>
    <r>
      <rPr>
        <sz val="10"/>
        <rFont val="WenQuanYi Zen Hei"/>
        <family val="2"/>
      </rPr>
      <t xml:space="preserve">が小さければ和でよい（和は少し大きめ＝安全側）。</t>
    </r>
  </si>
  <si>
    <t xml:space="preserve">待機系の換算</t>
  </si>
  <si>
    <r>
      <rPr>
        <sz val="10"/>
        <rFont val="WenQuanYi Zen Hei"/>
        <family val="2"/>
      </rPr>
      <t xml:space="preserve">点検周期</t>
    </r>
    <r>
      <rPr>
        <sz val="10"/>
        <rFont val="Yu Gothic"/>
        <family val="0"/>
        <charset val="1"/>
      </rPr>
      <t xml:space="preserve">T</t>
    </r>
    <r>
      <rPr>
        <sz val="10"/>
        <rFont val="WenQuanYi Zen Hei"/>
        <family val="2"/>
      </rPr>
      <t xml:space="preserve">で点検される待機機器は デマンド確率 ＝ </t>
    </r>
    <r>
      <rPr>
        <sz val="10"/>
        <rFont val="Yu Gothic"/>
        <family val="0"/>
        <charset val="1"/>
      </rPr>
      <t xml:space="preserve">λ × T ÷ 2</t>
    </r>
    <r>
      <rPr>
        <sz val="10"/>
        <rFont val="WenQuanYi Zen Hei"/>
        <family val="2"/>
      </rPr>
      <t xml:space="preserve">。（故障してから次の点検までの平均放置時間が</t>
    </r>
    <r>
      <rPr>
        <sz val="10"/>
        <rFont val="Yu Gothic"/>
        <family val="0"/>
        <charset val="1"/>
      </rPr>
      <t xml:space="preserve">T/2</t>
    </r>
    <r>
      <rPr>
        <sz val="10"/>
        <rFont val="WenQuanYi Zen Hei"/>
        <family val="2"/>
      </rPr>
      <t xml:space="preserve">のため。月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回点検なら</t>
    </r>
    <r>
      <rPr>
        <sz val="10"/>
        <rFont val="Yu Gothic"/>
        <family val="0"/>
        <charset val="1"/>
      </rPr>
      <t xml:space="preserve">T=720h</t>
    </r>
    <r>
      <rPr>
        <sz val="10"/>
        <rFont val="WenQuanYi Zen Hei"/>
        <family val="2"/>
      </rPr>
      <t xml:space="preserve">）</t>
    </r>
  </si>
  <si>
    <r>
      <rPr>
        <b val="true"/>
        <sz val="11"/>
        <rFont val="Yu Gothic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層の中身の組み立て方（</t>
    </r>
    <r>
      <rPr>
        <b val="true"/>
        <sz val="11"/>
        <rFont val="Yu Gothic"/>
        <family val="0"/>
        <charset val="1"/>
      </rPr>
      <t xml:space="preserve">FT</t>
    </r>
    <r>
      <rPr>
        <b val="true"/>
        <sz val="11"/>
        <rFont val="WenQuanYi Zen Hei"/>
        <family val="2"/>
      </rPr>
      <t xml:space="preserve">展開の型）</t>
    </r>
  </si>
  <si>
    <t xml:space="preserve">人が対処する層</t>
  </si>
  <si>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PFD </t>
    </r>
    <r>
      <rPr>
        <sz val="10"/>
        <rFont val="WenQuanYi Zen Hei"/>
        <family val="2"/>
      </rPr>
      <t xml:space="preserve">＝ 発見手段の故障（検出器＋</t>
    </r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＋アラーム） ＋ アラームに気づかない ＋ 発見したが対処できない。「対処できない」は時間余裕で値が変わる（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</t>
    </r>
    <r>
      <rPr>
        <sz val="10"/>
        <rFont val="Yu Gothic"/>
        <family val="0"/>
        <charset val="1"/>
      </rPr>
      <t xml:space="preserve">: 0.3 / 1</t>
    </r>
    <r>
      <rPr>
        <sz val="10"/>
        <rFont val="WenQuanYi Zen Hei"/>
        <family val="2"/>
      </rPr>
      <t xml:space="preserve">時間</t>
    </r>
    <r>
      <rPr>
        <sz val="10"/>
        <rFont val="Yu Gothic"/>
        <family val="0"/>
        <charset val="1"/>
      </rPr>
      <t xml:space="preserve">: 0.006 / 1</t>
    </r>
    <r>
      <rPr>
        <sz val="10"/>
        <rFont val="WenQuanYi Zen Hei"/>
        <family val="2"/>
      </rPr>
      <t xml:space="preserve">日</t>
    </r>
    <r>
      <rPr>
        <sz val="10"/>
        <rFont val="Yu Gothic"/>
        <family val="0"/>
        <charset val="1"/>
      </rPr>
      <t xml:space="preserve">: 0.0003</t>
    </r>
    <r>
      <rPr>
        <sz val="10"/>
        <rFont val="WenQuanYi Zen Hei"/>
        <family val="2"/>
      </rPr>
      <t xml:space="preserve">）。</t>
    </r>
  </si>
  <si>
    <t xml:space="preserve">自動の層（インターロック）</t>
  </si>
  <si>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PFD </t>
    </r>
    <r>
      <rPr>
        <sz val="10"/>
        <rFont val="WenQuanYi Zen Hei"/>
        <family val="2"/>
      </rPr>
      <t xml:space="preserve">＝ 検出器 ＋ ロジック（リレー回路） ＋ 操作端（電磁弁・空気調整弁）。人は介在しない。</t>
    </r>
  </si>
  <si>
    <t xml:space="preserve">機械式の層</t>
  </si>
  <si>
    <t xml:space="preserve">安全弁・チェッキ弁などは単体のデマンド確率をそのまま使う。</t>
  </si>
  <si>
    <r>
      <rPr>
        <b val="true"/>
        <sz val="11"/>
        <rFont val="Yu Gothic"/>
        <family val="0"/>
        <charset val="1"/>
      </rPr>
      <t xml:space="preserve">5. </t>
    </r>
    <r>
      <rPr>
        <b val="true"/>
        <sz val="11"/>
        <rFont val="WenQuanYi Zen Hei"/>
        <family val="2"/>
      </rPr>
      <t xml:space="preserve">生きた検算（式が入っています）</t>
    </r>
  </si>
  <si>
    <r>
      <rPr>
        <sz val="10"/>
        <rFont val="WenQuanYi Zen Hei"/>
        <family val="2"/>
      </rPr>
      <t xml:space="preserve">待機系換算の確認</t>
    </r>
    <r>
      <rPr>
        <sz val="10"/>
        <rFont val="Yu Gothic"/>
        <family val="0"/>
        <charset val="1"/>
      </rPr>
      <t xml:space="preserve">: </t>
    </r>
    <r>
      <rPr>
        <sz val="10"/>
        <rFont val="WenQuanYi Zen Hei"/>
        <family val="2"/>
      </rPr>
      <t xml:space="preserve">温度計 </t>
    </r>
    <r>
      <rPr>
        <sz val="10"/>
        <rFont val="Yu Gothic"/>
        <family val="0"/>
        <charset val="1"/>
      </rPr>
      <t xml:space="preserve">λ×T÷2</t>
    </r>
  </si>
  <si>
    <r>
      <rPr>
        <sz val="9"/>
        <color rgb="FF595959"/>
        <rFont val="WenQuanYi Zen Hei"/>
        <family val="2"/>
      </rPr>
      <t xml:space="preserve">確率</t>
    </r>
    <r>
      <rPr>
        <sz val="9"/>
        <color rgb="FF595959"/>
        <rFont val="Yu Gothic"/>
        <family val="0"/>
        <charset val="1"/>
      </rPr>
      <t xml:space="preserve">DB</t>
    </r>
    <r>
      <rPr>
        <sz val="9"/>
        <color rgb="FF595959"/>
        <rFont val="WenQuanYi Zen Hei"/>
        <family val="2"/>
      </rPr>
      <t xml:space="preserve">の登録値</t>
    </r>
    <r>
      <rPr>
        <sz val="9"/>
        <color rgb="FF595959"/>
        <rFont val="Yu Gothic"/>
        <family val="0"/>
        <charset val="1"/>
      </rPr>
      <t xml:space="preserve">0.035</t>
    </r>
    <r>
      <rPr>
        <sz val="9"/>
        <color rgb="FF595959"/>
        <rFont val="WenQuanYi Zen Hei"/>
        <family val="2"/>
      </rPr>
      <t xml:space="preserve">と一致する（登録値がこの式で作られていることの確認）</t>
    </r>
  </si>
  <si>
    <r>
      <rPr>
        <sz val="10"/>
        <rFont val="Yu Gothic"/>
        <family val="0"/>
        <charset val="1"/>
      </rPr>
      <t xml:space="preserve">OR</t>
    </r>
    <r>
      <rPr>
        <sz val="10"/>
        <rFont val="WenQuanYi Zen Hei"/>
        <family val="2"/>
      </rPr>
      <t xml:space="preserve">近似の誤差例</t>
    </r>
    <r>
      <rPr>
        <sz val="10"/>
        <rFont val="Yu Gothic"/>
        <family val="0"/>
        <charset val="1"/>
      </rPr>
      <t xml:space="preserve">: P1=0.3, P2=0.08 </t>
    </r>
    <r>
      <rPr>
        <sz val="10"/>
        <rFont val="WenQuanYi Zen Hei"/>
        <family val="2"/>
      </rPr>
      <t xml:space="preserve">の和</t>
    </r>
  </si>
  <si>
    <r>
      <rPr>
        <sz val="9"/>
        <color rgb="FF595959"/>
        <rFont val="WenQuanYi Zen Hei"/>
        <family val="2"/>
      </rPr>
      <t xml:space="preserve">厳密値は </t>
    </r>
    <r>
      <rPr>
        <sz val="9"/>
        <color rgb="FF595959"/>
        <rFont val="Yu Gothic"/>
        <family val="0"/>
        <charset val="1"/>
      </rPr>
      <t xml:space="preserve">1−(0.7×0.92)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Yu Gothic"/>
        <family val="0"/>
        <charset val="1"/>
      </rPr>
      <t xml:space="preserve">0.356</t>
    </r>
    <r>
      <rPr>
        <sz val="9"/>
        <color rgb="FF595959"/>
        <rFont val="WenQuanYi Zen Hei"/>
        <family val="2"/>
      </rPr>
      <t xml:space="preserve">。和</t>
    </r>
    <r>
      <rPr>
        <sz val="9"/>
        <color rgb="FF595959"/>
        <rFont val="Yu Gothic"/>
        <family val="0"/>
        <charset val="1"/>
      </rPr>
      <t xml:space="preserve">(0.38)</t>
    </r>
    <r>
      <rPr>
        <sz val="9"/>
        <color rgb="FF595959"/>
        <rFont val="WenQuanYi Zen Hei"/>
        <family val="2"/>
      </rPr>
      <t xml:space="preserve">は少し大きめに出る＝安全側。</t>
    </r>
  </si>
  <si>
    <r>
      <rPr>
        <sz val="10"/>
        <rFont val="WenQuanYi Zen Hei"/>
        <family val="2"/>
      </rPr>
      <t xml:space="preserve">起因頻度の例</t>
    </r>
    <r>
      <rPr>
        <sz val="10"/>
        <rFont val="Yu Gothic"/>
        <family val="0"/>
        <charset val="1"/>
      </rPr>
      <t xml:space="preserve">: λ=1.0E-4/hr, H=8760h</t>
    </r>
  </si>
  <si>
    <r>
      <rPr>
        <sz val="9"/>
        <color rgb="FF595959"/>
        <rFont val="Yu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年に</t>
    </r>
    <r>
      <rPr>
        <sz val="9"/>
        <color rgb="FF595959"/>
        <rFont val="Yu Gothic"/>
        <family val="0"/>
        <charset val="1"/>
      </rPr>
      <t xml:space="preserve">0.88</t>
    </r>
    <r>
      <rPr>
        <sz val="9"/>
        <color rgb="FF595959"/>
        <rFont val="WenQuanYi Zen Hei"/>
        <family val="2"/>
      </rPr>
      <t xml:space="preserve">回起こる、と読む。</t>
    </r>
  </si>
  <si>
    <r>
      <rPr>
        <b val="true"/>
        <sz val="11"/>
        <rFont val="Yu Gothic"/>
        <family val="0"/>
        <charset val="1"/>
      </rPr>
      <t xml:space="preserve">6. </t>
    </r>
    <r>
      <rPr>
        <b val="true"/>
        <sz val="11"/>
        <rFont val="WenQuanYi Zen Hei"/>
        <family val="2"/>
      </rPr>
      <t xml:space="preserve">コモン事象（掛け算の落とし穴）</t>
    </r>
  </si>
  <si>
    <r>
      <rPr>
        <sz val="10"/>
        <rFont val="WenQuanYi Zen Hei"/>
        <family val="2"/>
      </rPr>
      <t xml:space="preserve">同じ基本事象（例</t>
    </r>
    <r>
      <rPr>
        <sz val="10"/>
        <rFont val="Yu Gothic"/>
        <family val="0"/>
        <charset val="1"/>
      </rPr>
      <t xml:space="preserve">: DCS</t>
    </r>
    <r>
      <rPr>
        <sz val="10"/>
        <rFont val="WenQuanYi Zen Hei"/>
        <family val="2"/>
      </rPr>
      <t xml:space="preserve">故障）が複数の層に現れると、掛け算では同じ故障を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回掛けてしまい頻度を過小評価する。</t>
    </r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はブール代数（ミニマルカットセット）で重複を正しく処理する。本ブックの簡易計算では、同一要素は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つの層にだけ入れて近似すること。</t>
    </r>
  </si>
  <si>
    <r>
      <rPr>
        <sz val="9"/>
        <color rgb="FF595959"/>
        <rFont val="WenQuanYi Zen Hei"/>
        <family val="2"/>
      </rPr>
      <t xml:space="preserve">出典</t>
    </r>
    <r>
      <rPr>
        <sz val="9"/>
        <color rgb="FF595959"/>
        <rFont val="Yu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計算体系は</t>
    </r>
    <r>
      <rPr>
        <sz val="9"/>
        <color rgb="FF595959"/>
        <rFont val="Yu Gothic"/>
        <family val="0"/>
        <charset val="1"/>
      </rPr>
      <t xml:space="preserve">HAZchart</t>
    </r>
    <r>
      <rPr>
        <sz val="9"/>
        <color rgb="FF595959"/>
        <rFont val="WenQuanYi Zen Hei"/>
        <family val="2"/>
      </rPr>
      <t xml:space="preserve">解析基準（</t>
    </r>
    <r>
      <rPr>
        <sz val="9"/>
        <color rgb="FF595959"/>
        <rFont val="Yu Gothic"/>
        <family val="0"/>
        <charset val="1"/>
      </rPr>
      <t xml:space="preserve">C-2-3</t>
    </r>
    <r>
      <rPr>
        <sz val="9"/>
        <color rgb="FF595959"/>
        <rFont val="WenQuanYi Zen Hei"/>
        <family val="2"/>
      </rPr>
      <t xml:space="preserve">）と</t>
    </r>
    <r>
      <rPr>
        <sz val="9"/>
        <color rgb="FF595959"/>
        <rFont val="Yu Gothic"/>
        <family val="0"/>
        <charset val="1"/>
      </rPr>
      <t xml:space="preserve">PHA_Organizer</t>
    </r>
    <r>
      <rPr>
        <sz val="9"/>
        <color rgb="FF595959"/>
        <rFont val="WenQuanYi Zen Hei"/>
        <family val="2"/>
      </rPr>
      <t xml:space="preserve">の処理に基づく。数値の関係（</t>
    </r>
    <r>
      <rPr>
        <sz val="9"/>
        <color rgb="FF595959"/>
        <rFont val="Yu Gothic"/>
        <family val="0"/>
        <charset val="1"/>
      </rPr>
      <t xml:space="preserve">λ×T/2</t>
    </r>
    <r>
      <rPr>
        <sz val="9"/>
        <color rgb="FF595959"/>
        <rFont val="WenQuanYi Zen Hei"/>
        <family val="2"/>
      </rPr>
      <t xml:space="preserve">＝登録デマンド確率）は</t>
    </r>
    <r>
      <rPr>
        <sz val="9"/>
        <color rgb="FF595959"/>
        <rFont val="Yu Gothic"/>
        <family val="0"/>
        <charset val="1"/>
      </rPr>
      <t xml:space="preserve">project.pha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Yu Gothic"/>
        <family val="0"/>
        <charset val="1"/>
      </rPr>
      <t xml:space="preserve">PHA_Organizer 3.1.1</t>
    </r>
    <r>
      <rPr>
        <sz val="9"/>
        <color rgb="FF595959"/>
        <rFont val="WenQuanYi Zen Hei"/>
        <family val="2"/>
      </rPr>
      <t xml:space="preserve">）設定値を抽出 </t>
    </r>
    <r>
      <rPr>
        <sz val="9"/>
        <color rgb="FF595959"/>
        <rFont val="Yu Gothic"/>
        <family val="0"/>
        <charset val="1"/>
      </rPr>
      <t xml:space="preserve">2026-07-21</t>
    </r>
    <r>
      <rPr>
        <sz val="9"/>
        <color rgb="FF595959"/>
        <rFont val="WenQuanYi Zen Hei"/>
        <family val="2"/>
      </rPr>
      <t xml:space="preserve">で確認済み。</t>
    </r>
  </si>
  <si>
    <r>
      <rPr>
        <b val="true"/>
        <sz val="14"/>
        <rFont val="WenQuanYi Zen Hei"/>
        <family val="2"/>
      </rPr>
      <t xml:space="preserve">確率</t>
    </r>
    <r>
      <rPr>
        <b val="true"/>
        <sz val="14"/>
        <rFont val="Yu Gothic"/>
        <family val="0"/>
        <charset val="1"/>
      </rPr>
      <t xml:space="preserve">DB</t>
    </r>
    <r>
      <rPr>
        <b val="true"/>
        <sz val="14"/>
        <rFont val="WenQuanYi Zen Hei"/>
        <family val="2"/>
      </rPr>
      <t xml:space="preserve">（既存テンプレートの設定値）</t>
    </r>
  </si>
  <si>
    <r>
      <rPr>
        <sz val="9"/>
        <color rgb="FF595959"/>
        <rFont val="WenQuanYi Zen Hei"/>
        <family val="2"/>
      </rPr>
      <t xml:space="preserve">出典</t>
    </r>
    <r>
      <rPr>
        <sz val="9"/>
        <color rgb="FF595959"/>
        <rFont val="Yu Gothic"/>
        <family val="0"/>
        <charset val="1"/>
      </rPr>
      <t xml:space="preserve">: project.pha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Yu Gothic"/>
        <family val="0"/>
        <charset val="1"/>
      </rPr>
      <t xml:space="preserve">PHA_Organizer 3.1.1</t>
    </r>
    <r>
      <rPr>
        <sz val="9"/>
        <color rgb="FF595959"/>
        <rFont val="WenQuanYi Zen Hei"/>
        <family val="2"/>
      </rPr>
      <t xml:space="preserve">）設定値を抽出 </t>
    </r>
    <r>
      <rPr>
        <sz val="9"/>
        <color rgb="FF595959"/>
        <rFont val="Yu Gothic"/>
        <family val="0"/>
        <charset val="1"/>
      </rPr>
      <t xml:space="preserve">2026-07-21</t>
    </r>
    <r>
      <rPr>
        <sz val="9"/>
        <color rgb="FF595959"/>
        <rFont val="WenQuanYi Zen Hei"/>
        <family val="2"/>
      </rPr>
      <t xml:space="preserve">。追記する場合は下の空行に同じ形式で入力（キー列は「要素名／故障モード」）。</t>
    </r>
  </si>
  <si>
    <t xml:space="preserve">分類</t>
  </si>
  <si>
    <t xml:space="preserve">キー（選択用）</t>
  </si>
  <si>
    <t xml:space="preserve">要素名</t>
  </si>
  <si>
    <t xml:space="preserve">故障モード</t>
  </si>
  <si>
    <r>
      <rPr>
        <b val="true"/>
        <sz val="10"/>
        <rFont val="WenQuanYi Zen Hei"/>
        <family val="2"/>
      </rPr>
      <t xml:space="preserve">時間確率</t>
    </r>
    <r>
      <rPr>
        <b val="true"/>
        <sz val="10"/>
        <rFont val="Yu Gothic"/>
        <family val="0"/>
        <charset val="1"/>
      </rPr>
      <t xml:space="preserve">λ(/hr)</t>
    </r>
  </si>
  <si>
    <r>
      <rPr>
        <b val="true"/>
        <sz val="10"/>
        <rFont val="WenQuanYi Zen Hei"/>
        <family val="2"/>
      </rPr>
      <t xml:space="preserve">点検周期</t>
    </r>
    <r>
      <rPr>
        <b val="true"/>
        <sz val="10"/>
        <rFont val="Yu Gothic"/>
        <family val="0"/>
        <charset val="1"/>
      </rPr>
      <t xml:space="preserve">T(h)</t>
    </r>
  </si>
  <si>
    <r>
      <rPr>
        <b val="true"/>
        <sz val="10"/>
        <rFont val="WenQuanYi Zen Hei"/>
        <family val="2"/>
      </rPr>
      <t xml:space="preserve">デマンド確率</t>
    </r>
    <r>
      <rPr>
        <b val="true"/>
        <sz val="10"/>
        <rFont val="Yu Gothic"/>
        <family val="0"/>
        <charset val="1"/>
      </rPr>
      <t xml:space="preserve">(/d)</t>
    </r>
  </si>
  <si>
    <r>
      <rPr>
        <b val="true"/>
        <sz val="10"/>
        <rFont val="WenQuanYi Zen Hei"/>
        <family val="2"/>
      </rPr>
      <t xml:space="preserve">検算 </t>
    </r>
    <r>
      <rPr>
        <b val="true"/>
        <sz val="10"/>
        <rFont val="Yu Gothic"/>
        <family val="0"/>
        <charset val="1"/>
      </rPr>
      <t xml:space="preserve">λ×T÷2</t>
    </r>
  </si>
  <si>
    <t xml:space="preserve">出典</t>
  </si>
  <si>
    <t xml:space="preserve">備考</t>
  </si>
  <si>
    <t xml:space="preserve">コモン事象</t>
  </si>
  <si>
    <r>
      <rPr>
        <sz val="10"/>
        <rFont val="Yu Gothic"/>
        <family val="0"/>
        <charset val="1"/>
      </rPr>
      <t xml:space="preserve">DCS</t>
    </r>
    <r>
      <rPr>
        <sz val="10"/>
        <rFont val="WenQuanYi Zen Hei"/>
        <family val="2"/>
      </rPr>
      <t xml:space="preserve">／故障</t>
    </r>
  </si>
  <si>
    <t xml:space="preserve">DCS</t>
  </si>
  <si>
    <t xml:space="preserve">故障</t>
  </si>
  <si>
    <r>
      <rPr>
        <sz val="9"/>
        <color rgb="FF595959"/>
        <rFont val="Yu Gothic"/>
        <family val="0"/>
        <charset val="1"/>
      </rPr>
      <t xml:space="preserve">project.pha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Yu Gothic"/>
        <family val="0"/>
        <charset val="1"/>
      </rPr>
      <t xml:space="preserve">PHA_Organizer 3.1.1</t>
    </r>
    <r>
      <rPr>
        <sz val="9"/>
        <color rgb="FF595959"/>
        <rFont val="WenQuanYi Zen Hei"/>
        <family val="2"/>
      </rPr>
      <t xml:space="preserve">）設定値を抽出 </t>
    </r>
    <r>
      <rPr>
        <sz val="9"/>
        <color rgb="FF595959"/>
        <rFont val="Yu Gothic"/>
        <family val="0"/>
        <charset val="1"/>
      </rPr>
      <t xml:space="preserve">2026-07-21</t>
    </r>
  </si>
  <si>
    <r>
      <rPr>
        <sz val="9"/>
        <color rgb="FF595959"/>
        <rFont val="Yu Gothic"/>
        <family val="0"/>
        <charset val="1"/>
      </rPr>
      <t xml:space="preserve">DCS</t>
    </r>
    <r>
      <rPr>
        <sz val="9"/>
        <color rgb="FF595959"/>
        <rFont val="WenQuanYi Zen Hei"/>
        <family val="2"/>
      </rPr>
      <t xml:space="preserve">は各制御ループ・検出システムに共通で入る（コモン事象）</t>
    </r>
  </si>
  <si>
    <t xml:space="preserve">検出端</t>
  </si>
  <si>
    <t xml:space="preserve">温度計／故障</t>
  </si>
  <si>
    <t xml:space="preserve">温度計</t>
  </si>
  <si>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Yu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回点検（</t>
    </r>
    <r>
      <rPr>
        <sz val="9"/>
        <color rgb="FF595959"/>
        <rFont val="Yu Gothic"/>
        <family val="0"/>
        <charset val="1"/>
      </rPr>
      <t xml:space="preserve">T=720h</t>
    </r>
    <r>
      <rPr>
        <sz val="9"/>
        <color rgb="FF595959"/>
        <rFont val="WenQuanYi Zen Hei"/>
        <family val="2"/>
      </rPr>
      <t xml:space="preserve">）の待機系換算</t>
    </r>
  </si>
  <si>
    <t xml:space="preserve">流量計／故障</t>
  </si>
  <si>
    <t xml:space="preserve">流量計</t>
  </si>
  <si>
    <t xml:space="preserve">液面計／故障</t>
  </si>
  <si>
    <t xml:space="preserve">液面計</t>
  </si>
  <si>
    <t xml:space="preserve">圧力計／故障</t>
  </si>
  <si>
    <t xml:space="preserve">圧力計</t>
  </si>
  <si>
    <t xml:space="preserve">分析計／故障</t>
  </si>
  <si>
    <t xml:space="preserve">分析計</t>
  </si>
  <si>
    <t xml:space="preserve">警報</t>
  </si>
  <si>
    <t xml:space="preserve">アラーム／故障</t>
  </si>
  <si>
    <t xml:space="preserve">アラーム</t>
  </si>
  <si>
    <t xml:space="preserve">ロジック</t>
  </si>
  <si>
    <t xml:space="preserve">リレー回路／故障</t>
  </si>
  <si>
    <t xml:space="preserve">リレー回路</t>
  </si>
  <si>
    <t xml:space="preserve">インターロックの論理回路</t>
  </si>
  <si>
    <t xml:space="preserve">操作端</t>
  </si>
  <si>
    <t xml:space="preserve">空気調整弁／故障</t>
  </si>
  <si>
    <t xml:space="preserve">空気調整弁</t>
  </si>
  <si>
    <t xml:space="preserve">制御弁・遮断弁の駆動部</t>
  </si>
  <si>
    <t xml:space="preserve">電磁弁／故障</t>
  </si>
  <si>
    <t xml:space="preserve">電磁弁</t>
  </si>
  <si>
    <t xml:space="preserve">機械</t>
  </si>
  <si>
    <t xml:space="preserve">ポンプ／故障</t>
  </si>
  <si>
    <t xml:space="preserve">ポンプ</t>
  </si>
  <si>
    <t xml:space="preserve">コンプレッサー／故障</t>
  </si>
  <si>
    <t xml:space="preserve">コンプレッサー</t>
  </si>
  <si>
    <r>
      <rPr>
        <sz val="9"/>
        <color rgb="FF595959"/>
        <rFont val="WenQuanYi Zen Hei"/>
        <family val="2"/>
      </rPr>
      <t xml:space="preserve">デマンド確率は未設定（</t>
    </r>
    <r>
      <rPr>
        <sz val="9"/>
        <color rgb="FF595959"/>
        <rFont val="Yu Gothic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</si>
  <si>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t xml:space="preserve">チェッキ弁／故障</t>
  </si>
  <si>
    <t xml:space="preserve">チェッキ弁</t>
  </si>
  <si>
    <t xml:space="preserve">安全弁／故障</t>
  </si>
  <si>
    <t xml:space="preserve">安全弁</t>
  </si>
  <si>
    <t xml:space="preserve">ヒューマンエラー</t>
  </si>
  <si>
    <t xml:space="preserve">ヒューマンエラー／アラームに気づかない</t>
  </si>
  <si>
    <t xml:space="preserve">アラームに気づかない</t>
  </si>
  <si>
    <r>
      <rPr>
        <sz val="10"/>
        <rFont val="WenQuanYi Zen Hei"/>
        <family val="2"/>
      </rPr>
      <t xml:space="preserve">ヒューマンエラー／発見したが対処できない（時間余裕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分）</t>
    </r>
  </si>
  <si>
    <r>
      <rPr>
        <sz val="10"/>
        <rFont val="WenQuanYi Zen Hei"/>
        <family val="2"/>
      </rPr>
      <t xml:space="preserve">発見したが対処できない（時間余裕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分）</t>
    </r>
  </si>
  <si>
    <r>
      <rPr>
        <sz val="10"/>
        <rFont val="WenQuanYi Zen Hei"/>
        <family val="2"/>
      </rPr>
      <t xml:space="preserve">ヒューマンエラー／発見したが対処できない（時間余裕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時間）</t>
    </r>
  </si>
  <si>
    <r>
      <rPr>
        <sz val="10"/>
        <rFont val="WenQuanYi Zen Hei"/>
        <family val="2"/>
      </rPr>
      <t xml:space="preserve">発見したが対処できない（時間余裕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時間）</t>
    </r>
  </si>
  <si>
    <r>
      <rPr>
        <sz val="10"/>
        <rFont val="WenQuanYi Zen Hei"/>
        <family val="2"/>
      </rPr>
      <t xml:space="preserve">ヒューマンエラー／発見したが対処できない（時間余裕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日）</t>
    </r>
  </si>
  <si>
    <r>
      <rPr>
        <sz val="10"/>
        <rFont val="WenQuanYi Zen Hei"/>
        <family val="2"/>
      </rPr>
      <t xml:space="preserve">発見したが対処できない（時間余裕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日）</t>
    </r>
  </si>
  <si>
    <r>
      <rPr>
        <sz val="9"/>
        <color rgb="FF595959"/>
        <rFont val="WenQuanYi Zen Hei"/>
        <family val="2"/>
      </rPr>
      <t xml:space="preserve">（黄色の行は追記用。</t>
    </r>
    <r>
      <rPr>
        <sz val="9"/>
        <color rgb="FF595959"/>
        <rFont val="Yu Gothic"/>
        <family val="0"/>
        <charset val="1"/>
      </rPr>
      <t xml:space="preserve">λ</t>
    </r>
    <r>
      <rPr>
        <sz val="9"/>
        <color rgb="FF595959"/>
        <rFont val="WenQuanYi Zen Hei"/>
        <family val="2"/>
      </rPr>
      <t xml:space="preserve">と</t>
    </r>
    <r>
      <rPr>
        <sz val="9"/>
        <color rgb="FF595959"/>
        <rFont val="Yu Gothic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を入れれば検算列でデマンド確率の目安を作れる）</t>
    </r>
  </si>
  <si>
    <t xml:space="preserve">シナリオ計算（シミュレーター）</t>
  </si>
  <si>
    <r>
      <rPr>
        <sz val="9"/>
        <color rgb="FF595959"/>
        <rFont val="WenQuanYi Zen Hei"/>
        <family val="2"/>
      </rPr>
      <t xml:space="preserve">黄色セルだけ触る。初期値には例題（</t>
    </r>
    <r>
      <rPr>
        <sz val="9"/>
        <color rgb="FF595959"/>
        <rFont val="Yu Gothic"/>
        <family val="0"/>
        <charset val="1"/>
      </rPr>
      <t xml:space="preserve">FC12</t>
    </r>
    <r>
      <rPr>
        <sz val="9"/>
        <color rgb="FF595959"/>
        <rFont val="WenQuanYi Zen Hei"/>
        <family val="2"/>
      </rPr>
      <t xml:space="preserve">開度過少、</t>
    </r>
    <r>
      <rPr>
        <sz val="9"/>
        <color rgb="FF595959"/>
        <rFont val="Yu Gothic"/>
        <family val="0"/>
        <charset val="1"/>
      </rPr>
      <t xml:space="preserve">V-1204</t>
    </r>
    <r>
      <rPr>
        <sz val="9"/>
        <color rgb="FF595959"/>
        <rFont val="WenQuanYi Zen Hei"/>
        <family val="2"/>
      </rPr>
      <t xml:space="preserve">レベル上昇）を入れてある。</t>
    </r>
  </si>
  <si>
    <r>
      <rPr>
        <b val="true"/>
        <sz val="11"/>
        <rFont val="Yu Gothic"/>
        <family val="0"/>
        <charset val="1"/>
      </rPr>
      <t xml:space="preserve">STEP0 </t>
    </r>
    <r>
      <rPr>
        <b val="true"/>
        <sz val="11"/>
        <rFont val="WenQuanYi Zen Hei"/>
        <family val="2"/>
      </rPr>
      <t xml:space="preserve">前提</t>
    </r>
  </si>
  <si>
    <r>
      <rPr>
        <sz val="10"/>
        <rFont val="WenQuanYi Zen Hei"/>
        <family val="2"/>
      </rPr>
      <t xml:space="preserve">年間稼働時間 </t>
    </r>
    <r>
      <rPr>
        <sz val="10"/>
        <rFont val="Yu Gothic"/>
        <family val="0"/>
        <charset val="1"/>
      </rPr>
      <t xml:space="preserve">H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h/</t>
    </r>
    <r>
      <rPr>
        <sz val="1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</si>
  <si>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通年連続運転なら</t>
    </r>
    <r>
      <rPr>
        <sz val="9"/>
        <color rgb="FF595959"/>
        <rFont val="Yu Gothic"/>
        <family val="0"/>
        <charset val="1"/>
      </rPr>
      <t xml:space="preserve">8760</t>
    </r>
    <r>
      <rPr>
        <sz val="9"/>
        <color rgb="FF595959"/>
        <rFont val="WenQuanYi Zen Hei"/>
        <family val="2"/>
      </rPr>
      <t xml:space="preserve">。定修等を除くなら実稼働時間に変更。</t>
    </r>
  </si>
  <si>
    <r>
      <rPr>
        <b val="true"/>
        <sz val="11"/>
        <rFont val="Yu Gothic"/>
        <family val="0"/>
        <charset val="1"/>
      </rPr>
      <t xml:space="preserve">STEP1 </t>
    </r>
    <r>
      <rPr>
        <b val="true"/>
        <sz val="11"/>
        <rFont val="WenQuanYi Zen Hei"/>
        <family val="2"/>
      </rPr>
      <t xml:space="preserve">起因事象（機器の故障）</t>
    </r>
  </si>
  <si>
    <r>
      <rPr>
        <sz val="9"/>
        <color rgb="FF595959"/>
        <rFont val="WenQuanYi Zen Hei"/>
        <family val="2"/>
      </rPr>
      <t xml:space="preserve">制御弁の開度異常は「検出器＋</t>
    </r>
    <r>
      <rPr>
        <sz val="9"/>
        <color rgb="FF595959"/>
        <rFont val="Yu Gothic"/>
        <family val="0"/>
        <charset val="1"/>
      </rPr>
      <t xml:space="preserve">DCS</t>
    </r>
    <r>
      <rPr>
        <sz val="9"/>
        <color rgb="FF595959"/>
        <rFont val="WenQuanYi Zen Hei"/>
        <family val="2"/>
      </rPr>
      <t xml:space="preserve">＋操作端」の</t>
    </r>
    <r>
      <rPr>
        <sz val="9"/>
        <color rgb="FF595959"/>
        <rFont val="Yu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要素を選ぶ（制御ループ故障の合計になる）</t>
    </r>
  </si>
  <si>
    <t xml:space="preserve">構成要素（ドロップダウンで選択）</t>
  </si>
  <si>
    <t xml:space="preserve">λ(/hr)</t>
  </si>
  <si>
    <t xml:space="preserve">メモ</t>
  </si>
  <si>
    <r>
      <rPr>
        <sz val="10"/>
        <color rgb="FF0000FF"/>
        <rFont val="Yu Gothic"/>
        <family val="0"/>
        <charset val="1"/>
      </rPr>
      <t xml:space="preserve">FC12</t>
    </r>
    <r>
      <rPr>
        <sz val="10"/>
        <color rgb="FF0000FF"/>
        <rFont val="WenQuanYi Zen Hei"/>
        <family val="2"/>
      </rPr>
      <t xml:space="preserve">制御ループの検出器</t>
    </r>
  </si>
  <si>
    <r>
      <rPr>
        <sz val="10"/>
        <color rgb="FF0000FF"/>
        <rFont val="Yu Gothic"/>
        <family val="0"/>
        <charset val="1"/>
      </rPr>
      <t xml:space="preserve">DCS</t>
    </r>
    <r>
      <rPr>
        <sz val="10"/>
        <color rgb="FF0000FF"/>
        <rFont val="WenQuanYi Zen Hei"/>
        <family val="2"/>
      </rPr>
      <t xml:space="preserve">／故障</t>
    </r>
  </si>
  <si>
    <r>
      <rPr>
        <sz val="10"/>
        <color rgb="FF0000FF"/>
        <rFont val="WenQuanYi Zen Hei"/>
        <family val="2"/>
      </rPr>
      <t xml:space="preserve">同ループの</t>
    </r>
    <r>
      <rPr>
        <sz val="10"/>
        <color rgb="FF0000FF"/>
        <rFont val="Yu Gothic"/>
        <family val="0"/>
        <charset val="1"/>
      </rPr>
      <t xml:space="preserve">DCS</t>
    </r>
  </si>
  <si>
    <t xml:space="preserve">同ループの操作端</t>
  </si>
  <si>
    <r>
      <rPr>
        <b val="true"/>
        <sz val="10"/>
        <rFont val="Yu Gothic"/>
        <family val="0"/>
        <charset val="1"/>
      </rPr>
      <t xml:space="preserve">λ</t>
    </r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Yu Gothic"/>
        <family val="0"/>
        <charset val="1"/>
      </rPr>
      <t xml:space="preserve">/hr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</si>
  <si>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起因事象頻度 </t>
    </r>
    <r>
      <rPr>
        <b val="true"/>
        <sz val="10"/>
        <rFont val="Yu Gothic"/>
        <family val="0"/>
        <charset val="1"/>
      </rPr>
      <t xml:space="preserve">F0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Yu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年）</t>
    </r>
  </si>
  <si>
    <r>
      <rPr>
        <b val="true"/>
        <sz val="11"/>
        <rFont val="Yu Gothic"/>
        <family val="0"/>
        <charset val="1"/>
      </rPr>
      <t xml:space="preserve">STEP2 </t>
    </r>
    <r>
      <rPr>
        <b val="true"/>
        <sz val="11"/>
        <rFont val="WenQuanYi Zen Hei"/>
        <family val="2"/>
      </rPr>
      <t xml:space="preserve">安全防護層（シナリオで通過する順に上から）</t>
    </r>
  </si>
  <si>
    <r>
      <rPr>
        <sz val="9"/>
        <color rgb="FF595959"/>
        <rFont val="WenQuanYi Zen Hei"/>
        <family val="2"/>
      </rPr>
      <t xml:space="preserve">各層の</t>
    </r>
    <r>
      <rPr>
        <sz val="9"/>
        <color rgb="FF595959"/>
        <rFont val="Yu Gothic"/>
        <family val="0"/>
        <charset val="1"/>
      </rPr>
      <t xml:space="preserve">PFD</t>
    </r>
    <r>
      <rPr>
        <sz val="9"/>
        <color rgb="FF595959"/>
        <rFont val="WenQuanYi Zen Hei"/>
        <family val="2"/>
      </rPr>
      <t xml:space="preserve">＝構成要素のデマンド確率の和（</t>
    </r>
    <r>
      <rPr>
        <sz val="9"/>
        <color rgb="FF595959"/>
        <rFont val="Yu Gothic"/>
        <family val="0"/>
        <charset val="1"/>
      </rPr>
      <t xml:space="preserve">OR</t>
    </r>
    <r>
      <rPr>
        <sz val="9"/>
        <color rgb="FF595959"/>
        <rFont val="WenQuanYi Zen Hei"/>
        <family val="2"/>
      </rPr>
      <t xml:space="preserve">近似）。手入力</t>
    </r>
    <r>
      <rPr>
        <sz val="9"/>
        <color rgb="FF595959"/>
        <rFont val="Yu Gothic"/>
        <family val="0"/>
        <charset val="1"/>
      </rPr>
      <t xml:space="preserve">PFD</t>
    </r>
    <r>
      <rPr>
        <sz val="9"/>
        <color rgb="FF595959"/>
        <rFont val="WenQuanYi Zen Hei"/>
        <family val="2"/>
      </rPr>
      <t xml:space="preserve">に値を入れるとそちらを優先。「有効」を</t>
    </r>
    <r>
      <rPr>
        <sz val="9"/>
        <color rgb="FF595959"/>
        <rFont val="Yu Gothic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にするとその層なし（未設置）として計算。</t>
    </r>
  </si>
  <si>
    <t xml:space="preserve">層</t>
  </si>
  <si>
    <t xml:space="preserve">層の名称</t>
  </si>
  <si>
    <r>
      <rPr>
        <b val="true"/>
        <sz val="10"/>
        <rFont val="WenQuanYi Zen Hei"/>
        <family val="2"/>
      </rPr>
      <t xml:space="preserve">構成要素</t>
    </r>
    <r>
      <rPr>
        <b val="true"/>
        <sz val="10"/>
        <rFont val="Yu Gothic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</si>
  <si>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構成要素</t>
    </r>
    <r>
      <rPr>
        <b val="true"/>
        <sz val="10"/>
        <rFont val="Yu Gothic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</si>
  <si>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構成要素</t>
    </r>
    <r>
      <rPr>
        <b val="true"/>
        <sz val="10"/>
        <rFont val="Yu Gothic"/>
        <family val="0"/>
        <charset val="1"/>
      </rPr>
      <t xml:space="preserve">3</t>
    </r>
  </si>
  <si>
    <r>
      <rPr>
        <b val="true"/>
        <sz val="10"/>
        <rFont val="WenQuanYi Zen Hei"/>
        <family val="2"/>
      </rPr>
      <t xml:space="preserve">構成要素</t>
    </r>
    <r>
      <rPr>
        <b val="true"/>
        <sz val="10"/>
        <rFont val="Yu Gothic"/>
        <family val="0"/>
        <charset val="1"/>
      </rPr>
      <t xml:space="preserve">4</t>
    </r>
  </si>
  <si>
    <r>
      <rPr>
        <b val="true"/>
        <sz val="10"/>
        <rFont val="WenQuanYi Zen Hei"/>
        <family val="2"/>
      </rPr>
      <t xml:space="preserve">構成要素</t>
    </r>
    <r>
      <rPr>
        <b val="true"/>
        <sz val="10"/>
        <rFont val="Yu Gothic"/>
        <family val="0"/>
        <charset val="1"/>
      </rPr>
      <t xml:space="preserve">5</t>
    </r>
  </si>
  <si>
    <r>
      <rPr>
        <b val="true"/>
        <sz val="10"/>
        <rFont val="WenQuanYi Zen Hei"/>
        <family val="2"/>
      </rPr>
      <t xml:space="preserve">構成要素</t>
    </r>
    <r>
      <rPr>
        <b val="true"/>
        <sz val="10"/>
        <rFont val="Yu Gothic"/>
        <family val="0"/>
        <charset val="1"/>
      </rPr>
      <t xml:space="preserve">6</t>
    </r>
  </si>
  <si>
    <t xml:space="preserve">PFD1</t>
  </si>
  <si>
    <t xml:space="preserve">PFD2</t>
  </si>
  <si>
    <t xml:space="preserve">PFD3</t>
  </si>
  <si>
    <t xml:space="preserve">PFD4</t>
  </si>
  <si>
    <t xml:space="preserve">PFD5</t>
  </si>
  <si>
    <t xml:space="preserve">PFD6</t>
  </si>
  <si>
    <r>
      <rPr>
        <b val="true"/>
        <sz val="10"/>
        <rFont val="WenQuanYi Zen Hei"/>
        <family val="2"/>
      </rPr>
      <t xml:space="preserve">層</t>
    </r>
    <r>
      <rPr>
        <b val="true"/>
        <sz val="10"/>
        <rFont val="Yu Gothic"/>
        <family val="0"/>
        <charset val="1"/>
      </rPr>
      <t xml:space="preserve">PFD(</t>
    </r>
    <r>
      <rPr>
        <b val="true"/>
        <sz val="10"/>
        <rFont val="WenQuanYi Zen Hei"/>
        <family val="2"/>
      </rPr>
      <t xml:space="preserve">自動</t>
    </r>
    <r>
      <rPr>
        <b val="true"/>
        <sz val="10"/>
        <rFont val="Yu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</si>
  <si>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手入力</t>
    </r>
    <r>
      <rPr>
        <b val="true"/>
        <sz val="10"/>
        <rFont val="Yu Gothic"/>
        <family val="0"/>
        <charset val="1"/>
      </rPr>
      <t xml:space="preserve">PFD</t>
    </r>
  </si>
  <si>
    <t xml:space="preserve">有効</t>
  </si>
  <si>
    <r>
      <rPr>
        <b val="true"/>
        <sz val="10"/>
        <rFont val="WenQuanYi Zen Hei"/>
        <family val="2"/>
      </rPr>
      <t xml:space="preserve">採用</t>
    </r>
    <r>
      <rPr>
        <b val="true"/>
        <sz val="10"/>
        <rFont val="Yu Gothic"/>
        <family val="0"/>
        <charset val="1"/>
      </rPr>
      <t xml:space="preserve">PFD</t>
    </r>
  </si>
  <si>
    <r>
      <rPr>
        <b val="true"/>
        <sz val="10"/>
        <rFont val="WenQuanYi Zen Hei"/>
        <family val="2"/>
      </rPr>
      <t xml:space="preserve">この層まで全て失敗した頻度</t>
    </r>
    <r>
      <rPr>
        <b val="true"/>
        <sz val="10"/>
        <rFont val="Yu Gothic"/>
        <family val="0"/>
        <charset val="1"/>
      </rPr>
      <t xml:space="preserve">(/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</si>
  <si>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LK</t>
    </r>
    <r>
      <rPr>
        <sz val="10"/>
        <color rgb="FF0000FF"/>
        <rFont val="WenQuanYi Zen Hei"/>
        <family val="2"/>
      </rPr>
      <t xml:space="preserve">液面検出で運転員が対処（時間余裕</t>
    </r>
    <r>
      <rPr>
        <sz val="10"/>
        <color rgb="FF0000FF"/>
        <rFont val="Yu Gothic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分）</t>
    </r>
  </si>
  <si>
    <r>
      <rPr>
        <sz val="10"/>
        <color rgb="FF0000FF"/>
        <rFont val="WenQuanYi Zen Hei"/>
        <family val="2"/>
      </rPr>
      <t xml:space="preserve">ヒューマンエラー／発見したが対処できない（時間余裕</t>
    </r>
    <r>
      <rPr>
        <sz val="10"/>
        <color rgb="FF0000FF"/>
        <rFont val="Yu Gothic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分）</t>
    </r>
  </si>
  <si>
    <r>
      <rPr>
        <sz val="10"/>
        <color rgb="FF0000FF"/>
        <rFont val="Yu Gothic"/>
        <family val="0"/>
        <charset val="1"/>
      </rPr>
      <t xml:space="preserve">OSS</t>
    </r>
    <r>
      <rPr>
        <sz val="10"/>
        <color rgb="FF0000FF"/>
        <rFont val="WenQuanYi Zen Hei"/>
        <family val="2"/>
      </rPr>
      <t xml:space="preserve">（圧力検出で自動遮断）</t>
    </r>
  </si>
  <si>
    <r>
      <rPr>
        <b val="true"/>
        <sz val="11"/>
        <rFont val="Yu Gothic"/>
        <family val="0"/>
        <charset val="1"/>
      </rPr>
      <t xml:space="preserve">STEP3 </t>
    </r>
    <r>
      <rPr>
        <b val="true"/>
        <sz val="11"/>
        <rFont val="WenQuanYi Zen Hei"/>
        <family val="2"/>
      </rPr>
      <t xml:space="preserve">結果</t>
    </r>
  </si>
  <si>
    <r>
      <rPr>
        <b val="true"/>
        <sz val="10"/>
        <rFont val="WenQuanYi Zen Hei"/>
        <family val="2"/>
      </rPr>
      <t xml:space="preserve">最終事象の頻度（</t>
    </r>
    <r>
      <rPr>
        <b val="true"/>
        <sz val="10"/>
        <rFont val="Yu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年）</t>
    </r>
  </si>
  <si>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/hr</t>
    </r>
    <r>
      <rPr>
        <sz val="10"/>
        <rFont val="WenQuanYi Zen Hei"/>
        <family val="2"/>
      </rPr>
      <t xml:space="preserve">換算）</t>
    </r>
  </si>
  <si>
    <t xml:space="preserve">頻度レベル（参考・要確認）</t>
  </si>
  <si>
    <r>
      <rPr>
        <sz val="9"/>
        <color rgb="FF595959"/>
        <rFont val="WenQuanYi Zen Hei"/>
        <family val="2"/>
      </rPr>
      <t xml:space="preserve">頻度区分・ゾーンはリスクマトリックスシートの仮置き表による。</t>
    </r>
    <r>
      <rPr>
        <sz val="9"/>
        <color rgb="FF595959"/>
        <rFont val="Yu Gothic"/>
        <family val="0"/>
        <charset val="1"/>
      </rPr>
      <t xml:space="preserve">C-2-3</t>
    </r>
    <r>
      <rPr>
        <sz val="9"/>
        <color rgb="FF595959"/>
        <rFont val="WenQuanYi Zen Hei"/>
        <family val="2"/>
      </rPr>
      <t xml:space="preserve">の正式表と照合のこと。</t>
    </r>
  </si>
  <si>
    <r>
      <rPr>
        <sz val="10"/>
        <rFont val="WenQuanYi Zen Hei"/>
        <family val="2"/>
      </rPr>
      <t xml:space="preserve">影響度レベル（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を入力）</t>
    </r>
  </si>
  <si>
    <t xml:space="preserve">リスクゾーン（参考・要確認）</t>
  </si>
  <si>
    <r>
      <rPr>
        <b val="true"/>
        <sz val="11"/>
        <rFont val="WenQuanYi Zen Hei"/>
        <family val="2"/>
      </rPr>
      <t xml:space="preserve">対策効果の比較（</t>
    </r>
    <r>
      <rPr>
        <b val="true"/>
        <sz val="11"/>
        <rFont val="Yu Gothic"/>
        <family val="0"/>
        <charset val="1"/>
      </rPr>
      <t xml:space="preserve">What-if</t>
    </r>
    <r>
      <rPr>
        <b val="true"/>
        <sz val="11"/>
        <rFont val="WenQuanYi Zen Hei"/>
        <family val="2"/>
      </rPr>
      <t xml:space="preserve">）</t>
    </r>
  </si>
  <si>
    <t xml:space="preserve">ベースケースの頻度（数値を書き留める）</t>
  </si>
  <si>
    <t xml:space="preserve">現状ケースの頻度をここに数値でメモしてから層を変更すると、下で低減倍率が出る。</t>
  </si>
  <si>
    <r>
      <rPr>
        <sz val="10"/>
        <rFont val="WenQuanYi Zen Hei"/>
        <family val="2"/>
      </rPr>
      <t xml:space="preserve">低減倍率（ベース</t>
    </r>
    <r>
      <rPr>
        <sz val="10"/>
        <rFont val="Yu Gothic"/>
        <family val="0"/>
        <charset val="1"/>
      </rPr>
      <t xml:space="preserve">÷</t>
    </r>
    <r>
      <rPr>
        <sz val="10"/>
        <rFont val="WenQuanYi Zen Hei"/>
        <family val="2"/>
      </rPr>
      <t xml:space="preserve">現ケース）</t>
    </r>
  </si>
  <si>
    <r>
      <rPr>
        <b val="true"/>
        <sz val="14"/>
        <rFont val="WenQuanYi Zen Hei"/>
        <family val="2"/>
      </rPr>
      <t xml:space="preserve">例題</t>
    </r>
    <r>
      <rPr>
        <b val="true"/>
        <sz val="14"/>
        <rFont val="Yu Gothic"/>
        <family val="0"/>
        <charset val="1"/>
      </rPr>
      <t xml:space="preserve">: FC12</t>
    </r>
    <r>
      <rPr>
        <b val="true"/>
        <sz val="14"/>
        <rFont val="WenQuanYi Zen Hei"/>
        <family val="2"/>
      </rPr>
      <t xml:space="preserve">開度過少による</t>
    </r>
    <r>
      <rPr>
        <b val="true"/>
        <sz val="14"/>
        <rFont val="Yu Gothic"/>
        <family val="0"/>
        <charset val="1"/>
      </rPr>
      <t xml:space="preserve">V-1204</t>
    </r>
    <r>
      <rPr>
        <b val="true"/>
        <sz val="14"/>
        <rFont val="WenQuanYi Zen Hei"/>
        <family val="2"/>
      </rPr>
      <t xml:space="preserve">レベル上昇（アップロードされた</t>
    </r>
    <r>
      <rPr>
        <b val="true"/>
        <sz val="14"/>
        <rFont val="Yu Gothic"/>
        <family val="0"/>
        <charset val="1"/>
      </rPr>
      <t xml:space="preserve">project.pha</t>
    </r>
    <r>
      <rPr>
        <b val="true"/>
        <sz val="14"/>
        <rFont val="WenQuanYi Zen Hei"/>
        <family val="2"/>
      </rPr>
      <t xml:space="preserve">の再現）</t>
    </r>
  </si>
  <si>
    <r>
      <rPr>
        <b val="true"/>
        <sz val="11"/>
        <rFont val="WenQuanYi Zen Hei"/>
        <family val="2"/>
      </rPr>
      <t xml:space="preserve">シナリオ（</t>
    </r>
    <r>
      <rPr>
        <b val="true"/>
        <sz val="11"/>
        <rFont val="Yu Gothic"/>
        <family val="0"/>
        <charset val="1"/>
      </rPr>
      <t xml:space="preserve">What-if</t>
    </r>
    <r>
      <rPr>
        <b val="true"/>
        <sz val="11"/>
        <rFont val="WenQuanYi Zen Hei"/>
        <family val="2"/>
      </rPr>
      <t xml:space="preserve">）の流れ</t>
    </r>
  </si>
  <si>
    <r>
      <rPr>
        <sz val="10"/>
        <rFont val="Yu Gothic"/>
        <family val="0"/>
        <charset val="1"/>
      </rPr>
      <t xml:space="preserve">1. </t>
    </r>
    <r>
      <rPr>
        <sz val="10"/>
        <rFont val="WenQuanYi Zen Hei"/>
        <family val="2"/>
      </rPr>
      <t xml:space="preserve">起因事象</t>
    </r>
    <r>
      <rPr>
        <sz val="10"/>
        <rFont val="Yu Gothic"/>
        <family val="0"/>
        <charset val="1"/>
      </rPr>
      <t xml:space="preserve">: FC12 </t>
    </r>
    <r>
      <rPr>
        <sz val="10"/>
        <rFont val="WenQuanYi Zen Hei"/>
        <family val="2"/>
      </rPr>
      <t xml:space="preserve">開度過少（制御ループ故障）</t>
    </r>
  </si>
  <si>
    <r>
      <rPr>
        <sz val="10"/>
        <rFont val="Yu Gothic"/>
        <family val="0"/>
        <charset val="1"/>
      </rPr>
      <t xml:space="preserve">2. </t>
    </r>
    <r>
      <rPr>
        <sz val="10"/>
        <rFont val="WenQuanYi Zen Hei"/>
        <family val="2"/>
      </rPr>
      <t xml:space="preserve">フォーミングが進行して</t>
    </r>
    <r>
      <rPr>
        <sz val="10"/>
        <rFont val="Yu Gothic"/>
        <family val="0"/>
        <charset val="1"/>
      </rPr>
      <t xml:space="preserve">V-1204</t>
    </r>
    <r>
      <rPr>
        <sz val="10"/>
        <rFont val="WenQuanYi Zen Hei"/>
        <family val="2"/>
      </rPr>
      <t xml:space="preserve">のレベルが上がる</t>
    </r>
  </si>
  <si>
    <r>
      <rPr>
        <sz val="10"/>
        <rFont val="Yu Gothic"/>
        <family val="0"/>
        <charset val="1"/>
      </rPr>
      <t xml:space="preserve">3. LK</t>
    </r>
    <r>
      <rPr>
        <sz val="10"/>
        <rFont val="WenQuanYi Zen Hei"/>
        <family val="2"/>
      </rPr>
      <t xml:space="preserve">液面検出システムで検知し、運転員が回復動作（時間余裕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分）</t>
    </r>
  </si>
  <si>
    <r>
      <rPr>
        <sz val="10"/>
        <rFont val="Yu Gothic"/>
        <family val="0"/>
        <charset val="1"/>
      </rPr>
      <t xml:space="preserve">4. </t>
    </r>
    <r>
      <rPr>
        <sz val="10"/>
        <rFont val="WenQuanYi Zen Hei"/>
        <family val="2"/>
      </rPr>
      <t xml:space="preserve">回復動作に失敗すると、さらにレベルが上がる</t>
    </r>
  </si>
  <si>
    <r>
      <rPr>
        <sz val="10"/>
        <rFont val="Yu Gothic"/>
        <family val="0"/>
        <charset val="1"/>
      </rPr>
      <t xml:space="preserve">5. OSS</t>
    </r>
    <r>
      <rPr>
        <sz val="10"/>
        <rFont val="WenQuanYi Zen Hei"/>
        <family val="2"/>
      </rPr>
      <t xml:space="preserve">が作動して自動停止する</t>
    </r>
  </si>
  <si>
    <r>
      <rPr>
        <sz val="10"/>
        <rFont val="Yu Gothic"/>
        <family val="0"/>
        <charset val="1"/>
      </rPr>
      <t xml:space="preserve">6. OSS</t>
    </r>
    <r>
      <rPr>
        <sz val="10"/>
        <rFont val="WenQuanYi Zen Hei"/>
        <family val="2"/>
      </rPr>
      <t xml:space="preserve">が不作動なら、最終事象「</t>
    </r>
    <r>
      <rPr>
        <sz val="10"/>
        <rFont val="Yu Gothic"/>
        <family val="0"/>
        <charset val="1"/>
      </rPr>
      <t xml:space="preserve">EO</t>
    </r>
    <r>
      <rPr>
        <sz val="10"/>
        <rFont val="WenQuanYi Zen Hei"/>
        <family val="2"/>
      </rPr>
      <t xml:space="preserve">反応器まで水を巻き上げて触媒失活」に至る</t>
    </r>
  </si>
  <si>
    <r>
      <rPr>
        <b val="true"/>
        <sz val="11"/>
        <rFont val="WenQuanYi Zen Hei"/>
        <family val="2"/>
      </rPr>
      <t xml:space="preserve">計算の再現（式が入っています。確率</t>
    </r>
    <r>
      <rPr>
        <b val="true"/>
        <sz val="11"/>
        <rFont val="Yu Gothic"/>
        <family val="0"/>
        <charset val="1"/>
      </rPr>
      <t xml:space="preserve">DB</t>
    </r>
    <r>
      <rPr>
        <b val="true"/>
        <sz val="11"/>
        <rFont val="WenQuanYi Zen Hei"/>
        <family val="2"/>
      </rPr>
      <t xml:space="preserve">を参照）</t>
    </r>
  </si>
  <si>
    <t xml:space="preserve">項目</t>
  </si>
  <si>
    <t xml:space="preserve">構成要素</t>
  </si>
  <si>
    <t xml:space="preserve">値</t>
  </si>
  <si>
    <t xml:space="preserve">単位</t>
  </si>
  <si>
    <t xml:space="preserve">起因事象</t>
  </si>
  <si>
    <t xml:space="preserve">/hr</t>
  </si>
  <si>
    <r>
      <rPr>
        <sz val="9"/>
        <color rgb="FF595959"/>
        <rFont val="Yu Gothic"/>
        <family val="0"/>
        <charset val="1"/>
      </rPr>
      <t xml:space="preserve">FC12</t>
    </r>
    <r>
      <rPr>
        <sz val="9"/>
        <color rgb="FF595959"/>
        <rFont val="WenQuanYi Zen Hei"/>
        <family val="2"/>
      </rPr>
      <t xml:space="preserve">ループの検出器</t>
    </r>
  </si>
  <si>
    <r>
      <rPr>
        <sz val="9"/>
        <color rgb="FF595959"/>
        <rFont val="Yu Gothic"/>
        <family val="0"/>
        <charset val="1"/>
      </rPr>
      <t xml:space="preserve">FC12</t>
    </r>
    <r>
      <rPr>
        <sz val="9"/>
        <color rgb="FF595959"/>
        <rFont val="WenQuanYi Zen Hei"/>
        <family val="2"/>
      </rPr>
      <t xml:space="preserve">ループの操作端</t>
    </r>
  </si>
  <si>
    <r>
      <rPr>
        <sz val="10"/>
        <rFont val="WenQuanYi Zen Hei"/>
        <family val="2"/>
      </rPr>
      <t xml:space="preserve">防護層</t>
    </r>
    <r>
      <rPr>
        <sz val="10"/>
        <rFont val="Yu Gothic"/>
        <family val="0"/>
        <charset val="1"/>
      </rPr>
      <t xml:space="preserve">1</t>
    </r>
  </si>
  <si>
    <t xml:space="preserve">/d</t>
  </si>
  <si>
    <r>
      <rPr>
        <sz val="9"/>
        <color rgb="FF595959"/>
        <rFont val="Yu Gothic"/>
        <family val="0"/>
        <charset val="1"/>
      </rPr>
      <t xml:space="preserve">LK</t>
    </r>
    <r>
      <rPr>
        <sz val="9"/>
        <color rgb="FF595959"/>
        <rFont val="WenQuanYi Zen Hei"/>
        <family val="2"/>
      </rPr>
      <t xml:space="preserve">液面検出</t>
    </r>
  </si>
  <si>
    <r>
      <rPr>
        <sz val="10"/>
        <rFont val="WenQuanYi Zen Hei"/>
        <family val="2"/>
      </rPr>
      <t xml:space="preserve">防護層</t>
    </r>
    <r>
      <rPr>
        <sz val="10"/>
        <rFont val="Yu Gothic"/>
        <family val="0"/>
        <charset val="1"/>
      </rPr>
      <t xml:space="preserve">2</t>
    </r>
  </si>
  <si>
    <r>
      <rPr>
        <sz val="9"/>
        <color rgb="FF595959"/>
        <rFont val="Yu Gothic"/>
        <family val="0"/>
        <charset val="1"/>
      </rPr>
      <t xml:space="preserve">OSS</t>
    </r>
    <r>
      <rPr>
        <sz val="9"/>
        <color rgb="FF595959"/>
        <rFont val="WenQuanYi Zen Hei"/>
        <family val="2"/>
      </rPr>
      <t xml:space="preserve">の検出（</t>
    </r>
    <r>
      <rPr>
        <sz val="9"/>
        <color rgb="FF595959"/>
        <rFont val="Yu Gothic"/>
        <family val="0"/>
        <charset val="1"/>
      </rPr>
      <t xml:space="preserve">PDK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</si>
  <si>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Yu Gothic"/>
        <family val="0"/>
        <charset val="1"/>
      </rPr>
      <t xml:space="preserve">OSS</t>
    </r>
    <r>
      <rPr>
        <sz val="9"/>
        <color rgb="FF595959"/>
        <rFont val="WenQuanYi Zen Hei"/>
        <family val="2"/>
      </rPr>
      <t xml:space="preserve">のロジック</t>
    </r>
  </si>
  <si>
    <r>
      <rPr>
        <sz val="9"/>
        <color rgb="FF595959"/>
        <rFont val="Yu Gothic"/>
        <family val="0"/>
        <charset val="1"/>
      </rPr>
      <t xml:space="preserve">OSS</t>
    </r>
    <r>
      <rPr>
        <sz val="9"/>
        <color rgb="FF595959"/>
        <rFont val="WenQuanYi Zen Hei"/>
        <family val="2"/>
      </rPr>
      <t xml:space="preserve">の操作端</t>
    </r>
  </si>
  <si>
    <r>
      <rPr>
        <b val="true"/>
        <sz val="10"/>
        <rFont val="WenQuanYi Zen Hei"/>
        <family val="2"/>
      </rPr>
      <t xml:space="preserve">起因事象頻度 </t>
    </r>
    <r>
      <rPr>
        <b val="true"/>
        <sz val="10"/>
        <rFont val="Yu Gothic"/>
        <family val="0"/>
        <charset val="1"/>
      </rPr>
      <t xml:space="preserve">F0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Yu Gothic"/>
        <family val="0"/>
        <charset val="1"/>
      </rPr>
      <t xml:space="preserve">λ</t>
    </r>
    <r>
      <rPr>
        <b val="true"/>
        <sz val="10"/>
        <rFont val="WenQuanYi Zen Hei"/>
        <family val="2"/>
      </rPr>
      <t xml:space="preserve">合計 </t>
    </r>
    <r>
      <rPr>
        <b val="true"/>
        <sz val="10"/>
        <rFont val="Yu Gothic"/>
        <family val="0"/>
        <charset val="1"/>
      </rPr>
      <t xml:space="preserve">× 8760</t>
    </r>
  </si>
  <si>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年</t>
    </r>
  </si>
  <si>
    <r>
      <rPr>
        <b val="true"/>
        <sz val="10"/>
        <rFont val="WenQuanYi Zen Hei"/>
        <family val="2"/>
      </rPr>
      <t xml:space="preserve">防護層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の</t>
    </r>
    <r>
      <rPr>
        <b val="true"/>
        <sz val="10"/>
        <rFont val="Yu Gothic"/>
        <family val="0"/>
        <charset val="1"/>
      </rPr>
      <t xml:space="preserve">PFD</t>
    </r>
    <r>
      <rPr>
        <b val="true"/>
        <sz val="10"/>
        <rFont val="WenQuanYi Zen Hei"/>
        <family val="2"/>
      </rPr>
      <t xml:space="preserve">（要素の和）</t>
    </r>
  </si>
  <si>
    <r>
      <rPr>
        <b val="true"/>
        <sz val="10"/>
        <rFont val="WenQuanYi Zen Hei"/>
        <family val="2"/>
      </rPr>
      <t xml:space="preserve">防護層</t>
    </r>
    <r>
      <rPr>
        <b val="true"/>
        <sz val="10"/>
        <rFont val="Yu Gothic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の</t>
    </r>
    <r>
      <rPr>
        <b val="true"/>
        <sz val="10"/>
        <rFont val="Yu Gothic"/>
        <family val="0"/>
        <charset val="1"/>
      </rPr>
      <t xml:space="preserve">PFD</t>
    </r>
    <r>
      <rPr>
        <b val="true"/>
        <sz val="10"/>
        <rFont val="WenQuanYi Zen Hei"/>
        <family val="2"/>
      </rPr>
      <t xml:space="preserve">（要素の和）</t>
    </r>
  </si>
  <si>
    <r>
      <rPr>
        <b val="true"/>
        <sz val="10"/>
        <rFont val="WenQuanYi Zen Hei"/>
        <family val="2"/>
      </rPr>
      <t xml:space="preserve">最終事象頻度 </t>
    </r>
    <r>
      <rPr>
        <b val="true"/>
        <sz val="10"/>
        <rFont val="Yu Gothic"/>
        <family val="0"/>
        <charset val="1"/>
      </rPr>
      <t xml:space="preserve">F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Yu Gothic"/>
        <family val="0"/>
        <charset val="1"/>
      </rPr>
      <t xml:space="preserve">F0 × </t>
    </r>
    <r>
      <rPr>
        <b val="true"/>
        <sz val="10"/>
        <rFont val="WenQuanYi Zen Hei"/>
        <family val="2"/>
      </rPr>
      <t xml:space="preserve">層</t>
    </r>
    <r>
      <rPr>
        <b val="true"/>
        <sz val="10"/>
        <rFont val="Yu Gothic"/>
        <family val="0"/>
        <charset val="1"/>
      </rPr>
      <t xml:space="preserve">1PFD × </t>
    </r>
    <r>
      <rPr>
        <b val="true"/>
        <sz val="10"/>
        <rFont val="WenQuanYi Zen Hei"/>
        <family val="2"/>
      </rPr>
      <t xml:space="preserve">層</t>
    </r>
    <r>
      <rPr>
        <b val="true"/>
        <sz val="10"/>
        <rFont val="Yu Gothic"/>
        <family val="0"/>
        <charset val="1"/>
      </rPr>
      <t xml:space="preserve">2PFD</t>
    </r>
  </si>
  <si>
    <r>
      <rPr>
        <b val="true"/>
        <sz val="11"/>
        <rFont val="Yu Gothic"/>
        <family val="0"/>
        <charset val="1"/>
      </rPr>
      <t xml:space="preserve">PHA_Organizer</t>
    </r>
    <r>
      <rPr>
        <b val="true"/>
        <sz val="11"/>
        <rFont val="WenQuanYi Zen Hei"/>
        <family val="2"/>
      </rPr>
      <t xml:space="preserve">の計算値との比較</t>
    </r>
  </si>
  <si>
    <r>
      <rPr>
        <sz val="10"/>
        <rFont val="Yu Gothic"/>
        <family val="0"/>
        <charset val="1"/>
      </rPr>
      <t xml:space="preserve">PHA_Organizer</t>
    </r>
    <r>
      <rPr>
        <sz val="10"/>
        <rFont val="WenQuanYi Zen Hei"/>
        <family val="2"/>
      </rPr>
      <t xml:space="preserve">保存値（</t>
    </r>
    <r>
      <rPr>
        <sz val="10"/>
        <rFont val="Yu Gothic"/>
        <family val="0"/>
        <charset val="1"/>
      </rPr>
      <t xml:space="preserve">project.pha</t>
    </r>
    <r>
      <rPr>
        <sz val="10"/>
        <rFont val="WenQuanYi Zen Hei"/>
        <family val="2"/>
      </rPr>
      <t xml:space="preserve">内 </t>
    </r>
    <r>
      <rPr>
        <sz val="10"/>
        <rFont val="Yu Gothic"/>
        <family val="0"/>
        <charset val="1"/>
      </rPr>
      <t xml:space="preserve">FT-0002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</si>
  <si>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出典</t>
    </r>
    <r>
      <rPr>
        <sz val="9"/>
        <color rgb="FF595959"/>
        <rFont val="Yu Gothic"/>
        <family val="0"/>
        <charset val="1"/>
      </rPr>
      <t xml:space="preserve">: project.pha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Yu Gothic"/>
        <family val="0"/>
        <charset val="1"/>
      </rPr>
      <t xml:space="preserve">PHA_Organizer 3.1.1</t>
    </r>
    <r>
      <rPr>
        <sz val="9"/>
        <color rgb="FF595959"/>
        <rFont val="WenQuanYi Zen Hei"/>
        <family val="2"/>
      </rPr>
      <t xml:space="preserve">）設定値を抽出 </t>
    </r>
    <r>
      <rPr>
        <sz val="9"/>
        <color rgb="FF595959"/>
        <rFont val="Yu Gothic"/>
        <family val="0"/>
        <charset val="1"/>
      </rPr>
      <t xml:space="preserve">2026-07-21</t>
    </r>
  </si>
  <si>
    <r>
      <rPr>
        <sz val="10"/>
        <rFont val="WenQuanYi Zen Hei"/>
        <family val="2"/>
      </rPr>
      <t xml:space="preserve">本シートの近似値 </t>
    </r>
    <r>
      <rPr>
        <sz val="10"/>
        <rFont val="Yu Gothic"/>
        <family val="0"/>
        <charset val="1"/>
      </rPr>
      <t xml:space="preserve">÷ PHA_Organizer</t>
    </r>
    <r>
      <rPr>
        <sz val="10"/>
        <rFont val="WenQuanYi Zen Hei"/>
        <family val="2"/>
      </rPr>
      <t xml:space="preserve">値</t>
    </r>
  </si>
  <si>
    <r>
      <rPr>
        <sz val="9"/>
        <color rgb="FF595959"/>
        <rFont val="WenQuanYi Zen Hei"/>
        <family val="2"/>
      </rPr>
      <t xml:space="preserve">同オーダー（</t>
    </r>
    <r>
      <rPr>
        <sz val="9"/>
        <color rgb="FF595959"/>
        <rFont val="Yu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未満＝やや小さめ）。差は</t>
    </r>
    <r>
      <rPr>
        <sz val="9"/>
        <color rgb="FF595959"/>
        <rFont val="Yu Gothic"/>
        <family val="0"/>
        <charset val="1"/>
      </rPr>
      <t xml:space="preserve">FT</t>
    </r>
    <r>
      <rPr>
        <sz val="9"/>
        <color rgb="FF595959"/>
        <rFont val="WenQuanYi Zen Hei"/>
        <family val="2"/>
      </rPr>
      <t xml:space="preserve">の分岐（</t>
    </r>
    <r>
      <rPr>
        <sz val="9"/>
        <color rgb="FF595959"/>
        <rFont val="Yu Gothic"/>
        <family val="0"/>
        <charset val="1"/>
      </rPr>
      <t xml:space="preserve">PDK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Yu Gothic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経由の経路）とカットセット処理を簡略化しているため（推測）。オーダー確認用として使う。</t>
    </r>
  </si>
  <si>
    <r>
      <rPr>
        <b val="true"/>
        <sz val="11"/>
        <rFont val="WenQuanYi Zen Hei"/>
        <family val="2"/>
      </rPr>
      <t xml:space="preserve">対策効果の見える化（この例での</t>
    </r>
    <r>
      <rPr>
        <b val="true"/>
        <sz val="11"/>
        <rFont val="Yu Gothic"/>
        <family val="0"/>
        <charset val="1"/>
      </rPr>
      <t xml:space="preserve">What-if</t>
    </r>
    <r>
      <rPr>
        <b val="true"/>
        <sz val="11"/>
        <rFont val="WenQuanYi Zen Hei"/>
        <family val="2"/>
      </rPr>
      <t xml:space="preserve">）</t>
    </r>
  </si>
  <si>
    <t xml:space="preserve">ケース</t>
  </si>
  <si>
    <t xml:space="preserve">内容</t>
  </si>
  <si>
    <r>
      <rPr>
        <b val="true"/>
        <sz val="10"/>
        <rFont val="WenQuanYi Zen Hei"/>
        <family val="2"/>
      </rPr>
      <t xml:space="preserve">頻度</t>
    </r>
    <r>
      <rPr>
        <b val="true"/>
        <sz val="10"/>
        <rFont val="Yu Gothic"/>
        <family val="0"/>
        <charset val="1"/>
      </rPr>
      <t xml:space="preserve">(/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Yu Gothic"/>
        <family val="0"/>
        <charset val="1"/>
      </rPr>
      <t xml:space="preserve">)</t>
    </r>
  </si>
  <si>
    <t xml:space="preserve">現状との比</t>
  </si>
  <si>
    <t xml:space="preserve">現状</t>
  </si>
  <si>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LK</t>
    </r>
    <r>
      <rPr>
        <sz val="10"/>
        <rFont val="WenQuanYi Zen Hei"/>
        <family val="2"/>
      </rPr>
      <t xml:space="preserve">＋運転員）＋層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OSS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</si>
  <si>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層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なし</t>
    </r>
  </si>
  <si>
    <r>
      <rPr>
        <sz val="10"/>
        <rFont val="Yu Gothic"/>
        <family val="0"/>
        <charset val="1"/>
      </rPr>
      <t xml:space="preserve">OSS</t>
    </r>
    <r>
      <rPr>
        <sz val="10"/>
        <rFont val="WenQuanYi Zen Hei"/>
        <family val="2"/>
      </rPr>
      <t xml:space="preserve">が無い場合（運転員頼み）</t>
    </r>
  </si>
  <si>
    <r>
      <rPr>
        <sz val="10"/>
        <rFont val="WenQuanYi Zen Hei"/>
        <family val="2"/>
      </rPr>
      <t xml:space="preserve">層を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つ追加</t>
    </r>
  </si>
  <si>
    <r>
      <rPr>
        <sz val="10"/>
        <rFont val="WenQuanYi Zen Hei"/>
        <family val="2"/>
      </rPr>
      <t xml:space="preserve">独立したインターロックをもう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層追加（</t>
    </r>
    <r>
      <rPr>
        <sz val="10"/>
        <rFont val="Yu Gothic"/>
        <family val="0"/>
        <charset val="1"/>
      </rPr>
      <t xml:space="preserve">PFD</t>
    </r>
    <r>
      <rPr>
        <sz val="10"/>
        <rFont val="WenQuanYi Zen Hei"/>
        <family val="2"/>
      </rPr>
      <t xml:space="preserve">は層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と同等と仮定）</t>
    </r>
  </si>
  <si>
    <r>
      <rPr>
        <sz val="9"/>
        <color rgb="FF595959"/>
        <rFont val="WenQuanYi Zen Hei"/>
        <family val="2"/>
      </rPr>
      <t xml:space="preserve">（読み方）層を</t>
    </r>
    <r>
      <rPr>
        <sz val="9"/>
        <color rgb="FF595959"/>
        <rFont val="Yu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つ追加すると頻度は追加層の</t>
    </r>
    <r>
      <rPr>
        <sz val="9"/>
        <color rgb="FF595959"/>
        <rFont val="Yu Gothic"/>
        <family val="0"/>
        <charset val="1"/>
      </rPr>
      <t xml:space="preserve">PFD</t>
    </r>
    <r>
      <rPr>
        <sz val="9"/>
        <color rgb="FF595959"/>
        <rFont val="WenQuanYi Zen Hei"/>
        <family val="2"/>
      </rPr>
      <t xml:space="preserve">倍（約</t>
    </r>
    <r>
      <rPr>
        <sz val="9"/>
        <color rgb="FF595959"/>
        <rFont val="Yu Gothic"/>
        <family val="0"/>
        <charset val="1"/>
      </rPr>
      <t xml:space="preserve">1/12</t>
    </r>
    <r>
      <rPr>
        <sz val="9"/>
        <color rgb="FF595959"/>
        <rFont val="WenQuanYi Zen Hei"/>
        <family val="2"/>
      </rPr>
      <t xml:space="preserve">）に下がる。ただし追加層が既存層と検出器や</t>
    </r>
    <r>
      <rPr>
        <sz val="9"/>
        <color rgb="FF595959"/>
        <rFont val="Yu Gothic"/>
        <family val="0"/>
        <charset val="1"/>
      </rPr>
      <t xml:space="preserve">DCS</t>
    </r>
    <r>
      <rPr>
        <sz val="9"/>
        <color rgb="FF595959"/>
        <rFont val="WenQuanYi Zen Hei"/>
        <family val="2"/>
      </rPr>
      <t xml:space="preserve">を共有すると効果はここまで出ない（コモン事象）。</t>
    </r>
  </si>
  <si>
    <t xml:space="preserve">リスクマトリックス（仮置き・要確認）</t>
  </si>
  <si>
    <r>
      <rPr>
        <b val="true"/>
        <sz val="10"/>
        <color rgb="FFFF0000"/>
        <rFont val="WenQuanYi Zen Hei"/>
        <family val="2"/>
      </rPr>
      <t xml:space="preserve">この区分・ゾーン割付は一般形の仮置き。</t>
    </r>
    <r>
      <rPr>
        <b val="true"/>
        <sz val="10"/>
        <color rgb="FFFF0000"/>
        <rFont val="Yu Gothic"/>
        <family val="0"/>
        <charset val="1"/>
      </rPr>
      <t xml:space="preserve">HAZchart</t>
    </r>
    <r>
      <rPr>
        <b val="true"/>
        <sz val="10"/>
        <color rgb="FFFF0000"/>
        <rFont val="WenQuanYi Zen Hei"/>
        <family val="2"/>
      </rPr>
      <t xml:space="preserve">解析基準（</t>
    </r>
    <r>
      <rPr>
        <b val="true"/>
        <sz val="10"/>
        <color rgb="FFFF0000"/>
        <rFont val="Yu Gothic"/>
        <family val="0"/>
        <charset val="1"/>
      </rPr>
      <t xml:space="preserve">C-2-3</t>
    </r>
    <r>
      <rPr>
        <b val="true"/>
        <sz val="10"/>
        <color rgb="FFFF0000"/>
        <rFont val="WenQuanYi Zen Hei"/>
        <family val="2"/>
      </rPr>
      <t xml:space="preserve">）の正式な表と照合して確定すること。</t>
    </r>
  </si>
  <si>
    <t xml:space="preserve">頻度レベル（年間発生頻度）</t>
  </si>
  <si>
    <t xml:space="preserve">E</t>
  </si>
  <si>
    <r>
      <rPr>
        <sz val="10"/>
        <rFont val="Yu Gothic"/>
        <family val="0"/>
        <charset val="1"/>
      </rPr>
      <t xml:space="preserve">0.1</t>
    </r>
    <r>
      <rPr>
        <sz val="10"/>
        <rFont val="WenQuanYi Zen Hei"/>
        <family val="2"/>
      </rPr>
      <t xml:space="preserve">回</t>
    </r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年 以上</t>
    </r>
  </si>
  <si>
    <t xml:space="preserve">年に何回も起こりうる</t>
  </si>
  <si>
    <t xml:space="preserve">D</t>
  </si>
  <si>
    <r>
      <rPr>
        <sz val="10"/>
        <rFont val="Yu Gothic"/>
        <family val="0"/>
        <charset val="1"/>
      </rPr>
      <t xml:space="preserve">0.01</t>
    </r>
    <r>
      <rPr>
        <sz val="10"/>
        <rFont val="WenQuanYi Zen Hei"/>
        <family val="2"/>
      </rPr>
      <t xml:space="preserve">以上 </t>
    </r>
    <r>
      <rPr>
        <sz val="10"/>
        <rFont val="Yu Gothic"/>
        <family val="0"/>
        <charset val="1"/>
      </rPr>
      <t xml:space="preserve">0.1</t>
    </r>
    <r>
      <rPr>
        <sz val="10"/>
        <rFont val="WenQuanYi Zen Hei"/>
        <family val="2"/>
      </rPr>
      <t xml:space="preserve">未満</t>
    </r>
  </si>
  <si>
    <t xml:space="preserve">検出が弱いと起こる</t>
  </si>
  <si>
    <t xml:space="preserve">C</t>
  </si>
  <si>
    <r>
      <rPr>
        <sz val="10"/>
        <rFont val="Yu Gothic"/>
        <family val="0"/>
        <charset val="1"/>
      </rPr>
      <t xml:space="preserve">0.0001</t>
    </r>
    <r>
      <rPr>
        <sz val="10"/>
        <rFont val="WenQuanYi Zen Hei"/>
        <family val="2"/>
      </rPr>
      <t xml:space="preserve">以上 </t>
    </r>
    <r>
      <rPr>
        <sz val="10"/>
        <rFont val="Yu Gothic"/>
        <family val="0"/>
        <charset val="1"/>
      </rPr>
      <t xml:space="preserve">0.01</t>
    </r>
    <r>
      <rPr>
        <sz val="10"/>
        <rFont val="WenQuanYi Zen Hei"/>
        <family val="2"/>
      </rPr>
      <t xml:space="preserve">未満</t>
    </r>
  </si>
  <si>
    <t xml:space="preserve">管理されていれば稀</t>
  </si>
  <si>
    <t xml:space="preserve">B</t>
  </si>
  <si>
    <r>
      <rPr>
        <sz val="10"/>
        <rFont val="Yu Gothic"/>
        <family val="0"/>
        <charset val="1"/>
      </rPr>
      <t xml:space="preserve">0.000001</t>
    </r>
    <r>
      <rPr>
        <sz val="10"/>
        <rFont val="WenQuanYi Zen Hei"/>
        <family val="2"/>
      </rPr>
      <t xml:space="preserve">以上 </t>
    </r>
    <r>
      <rPr>
        <sz val="10"/>
        <rFont val="Yu Gothic"/>
        <family val="0"/>
        <charset val="1"/>
      </rPr>
      <t xml:space="preserve">0.0001</t>
    </r>
    <r>
      <rPr>
        <sz val="10"/>
        <rFont val="WenQuanYi Zen Hei"/>
        <family val="2"/>
      </rPr>
      <t xml:space="preserve">未満</t>
    </r>
  </si>
  <si>
    <t xml:space="preserve">多重故障が必要</t>
  </si>
  <si>
    <t xml:space="preserve">A</t>
  </si>
  <si>
    <r>
      <rPr>
        <sz val="10"/>
        <rFont val="Yu Gothic"/>
        <family val="0"/>
        <charset val="1"/>
      </rPr>
      <t xml:space="preserve">0.000001</t>
    </r>
    <r>
      <rPr>
        <sz val="10"/>
        <rFont val="WenQuanYi Zen Hei"/>
        <family val="2"/>
      </rPr>
      <t xml:space="preserve">未満</t>
    </r>
  </si>
  <si>
    <t xml:space="preserve">実質起こらない</t>
  </si>
  <si>
    <t xml:space="preserve">影響度レベル</t>
  </si>
  <si>
    <t xml:space="preserve">1</t>
  </si>
  <si>
    <t xml:space="preserve">事故</t>
  </si>
  <si>
    <t xml:space="preserve">火災・爆発・大量漏洩・重大な人的被害</t>
  </si>
  <si>
    <t xml:space="preserve">2</t>
  </si>
  <si>
    <t xml:space="preserve">重大トラブル</t>
  </si>
  <si>
    <t xml:space="preserve">漏洩・機器損傷・長期の運転停止</t>
  </si>
  <si>
    <t xml:space="preserve">3</t>
  </si>
  <si>
    <t xml:space="preserve">トラブル</t>
  </si>
  <si>
    <r>
      <rPr>
        <sz val="10"/>
        <rFont val="WenQuanYi Zen Hei"/>
        <family val="2"/>
      </rPr>
      <t xml:space="preserve">運転阻害・軽微な損傷（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週間未満で復旧）</t>
    </r>
  </si>
  <si>
    <t xml:space="preserve">4</t>
  </si>
  <si>
    <t xml:space="preserve">小トラブル</t>
  </si>
  <si>
    <t xml:space="preserve">放出なし・プロセス乱れのみ</t>
  </si>
  <si>
    <r>
      <rPr>
        <b val="true"/>
        <sz val="11"/>
        <rFont val="WenQuanYi Zen Hei"/>
        <family val="2"/>
      </rPr>
      <t xml:space="preserve">マトリックス（行</t>
    </r>
    <r>
      <rPr>
        <b val="true"/>
        <sz val="11"/>
        <rFont val="Yu Gothic"/>
        <family val="0"/>
        <charset val="1"/>
      </rPr>
      <t xml:space="preserve">=</t>
    </r>
    <r>
      <rPr>
        <b val="true"/>
        <sz val="11"/>
        <rFont val="WenQuanYi Zen Hei"/>
        <family val="2"/>
      </rPr>
      <t xml:space="preserve">頻度レベル、列</t>
    </r>
    <r>
      <rPr>
        <b val="true"/>
        <sz val="11"/>
        <rFont val="Yu Gothic"/>
        <family val="0"/>
        <charset val="1"/>
      </rPr>
      <t xml:space="preserve">=</t>
    </r>
    <r>
      <rPr>
        <b val="true"/>
        <sz val="11"/>
        <rFont val="WenQuanYi Zen Hei"/>
        <family val="2"/>
      </rPr>
      <t xml:space="preserve">影響度レベル）</t>
    </r>
  </si>
  <si>
    <t xml:space="preserve">頻度</t>
  </si>
  <si>
    <r>
      <rPr>
        <b val="true"/>
        <sz val="10"/>
        <rFont val="WenQuanYi Zen Hei"/>
        <family val="2"/>
      </rPr>
      <t xml:space="preserve">影響度</t>
    </r>
    <r>
      <rPr>
        <b val="true"/>
        <sz val="10"/>
        <rFont val="Yu Gothic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</si>
  <si>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影響度</t>
    </r>
    <r>
      <rPr>
        <b val="true"/>
        <sz val="10"/>
        <rFont val="Yu Gothic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</si>
  <si>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影響度</t>
    </r>
    <r>
      <rPr>
        <b val="true"/>
        <sz val="10"/>
        <rFont val="Yu Gothic"/>
        <family val="0"/>
        <charset val="1"/>
      </rPr>
      <t xml:space="preserve">3</t>
    </r>
  </si>
  <si>
    <r>
      <rPr>
        <b val="true"/>
        <sz val="10"/>
        <rFont val="WenQuanYi Zen Hei"/>
        <family val="2"/>
      </rPr>
      <t xml:space="preserve">影響度</t>
    </r>
    <r>
      <rPr>
        <b val="true"/>
        <sz val="10"/>
        <rFont val="Yu Gothic"/>
        <family val="0"/>
        <charset val="1"/>
      </rPr>
      <t xml:space="preserve">4</t>
    </r>
  </si>
  <si>
    <t xml:space="preserve">赤</t>
  </si>
  <si>
    <t xml:space="preserve">黄</t>
  </si>
  <si>
    <t xml:space="preserve">緑</t>
  </si>
  <si>
    <r>
      <rPr>
        <sz val="9"/>
        <color rgb="FF595959"/>
        <rFont val="WenQuanYi Zen Hei"/>
        <family val="2"/>
      </rPr>
      <t xml:space="preserve">赤</t>
    </r>
    <r>
      <rPr>
        <sz val="9"/>
        <color rgb="FF595959"/>
        <rFont val="Yu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許容不可（対策必須） 黄</t>
    </r>
    <r>
      <rPr>
        <sz val="9"/>
        <color rgb="FF595959"/>
        <rFont val="Yu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条件付き（管理・監視強化のうえ猶予） 緑</t>
    </r>
    <r>
      <rPr>
        <sz val="9"/>
        <color rgb="FF595959"/>
        <rFont val="Yu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許容可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</si>
</sst>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E+00"/>
    <numFmt numFmtId="166" formatCode="0.000"/>
    <numFmt numFmtId="167" formatCode="0"/>
    <numFmt numFmtId="168" formatCode="0.0"/>
    <numFmt numFmtId="169" formatCode="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Yu Gothic"/>
      <family val="0"/>
      <charset val="1"/>
    </font>
    <font>
      <b val="true"/>
      <sz val="1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Yu Gothic"/>
      <family val="0"/>
      <charset val="1"/>
    </font>
    <font>
      <b val="true"/>
      <sz val="10"/>
      <name val="WenQuanYi Zen Hei"/>
      <family val="2"/>
    </font>
    <font>
      <sz val="10"/>
      <name val="Yu Gothic"/>
      <family val="0"/>
      <charset val="1"/>
    </font>
    <font>
      <sz val="10"/>
      <name val="WenQuanYi Zen Hei"/>
      <family val="2"/>
    </font>
    <font>
      <b val="true"/>
      <sz val="10"/>
      <name val="Yu Gothic"/>
      <family val="0"/>
      <charset val="1"/>
    </font>
    <font>
      <b val="true"/>
      <sz val="10"/>
      <color rgb="FFFF0000"/>
      <name val="WenQuanYi Zen Hei"/>
      <family val="2"/>
    </font>
    <font>
      <b val="true"/>
      <sz val="11"/>
      <name val="Yu Gothic"/>
      <family val="0"/>
      <charset val="1"/>
    </font>
    <font>
      <b val="true"/>
      <sz val="11"/>
      <name val="WenQuanYi Zen Hei"/>
      <family val="2"/>
    </font>
    <font>
      <sz val="10"/>
      <color rgb="FF0000FF"/>
      <name val="Yu Gothic"/>
      <family val="0"/>
      <charset val="1"/>
    </font>
    <font>
      <sz val="10"/>
      <color rgb="FF0000FF"/>
      <name val="WenQuanYi Zen Hei"/>
      <family val="2"/>
    </font>
    <font>
      <b val="true"/>
      <sz val="10"/>
      <color rgb="FFFF0000"/>
      <name val="Yu Gothic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  <fill>
      <patternFill patternType="solid">
        <fgColor rgb="FFD9D9D9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6666"/>
        <bgColor rgb="FFFF6600"/>
      </patternFill>
    </fill>
    <fill>
      <patternFill patternType="solid">
        <fgColor rgb="FFFFFF99"/>
        <bgColor rgb="FFFFFFCC"/>
      </patternFill>
    </fill>
    <fill>
      <patternFill patternType="solid">
        <fgColor rgb="FF99CC99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9CC99"/>
      <rgbColor rgb="FF808080"/>
      <rgbColor rgb="FF9999FF"/>
      <rgbColor rgb="FF993366"/>
      <rgbColor rgb="FFFFFFCC"/>
      <rgbColor rgb="FFCCFFFF"/>
      <rgbColor rgb="FF660066"/>
      <rgbColor rgb="FFFF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5"/>
  </cols>
  <sheetData>
    <row r="2" customFormat="false" ht="19.4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5" t="s">
        <v>5</v>
      </c>
    </row>
    <row r="7" customFormat="false" ht="30" hidden="false" customHeight="true" outlineLevel="0" collapsed="false">
      <c r="B7" s="3" t="s">
        <v>6</v>
      </c>
      <c r="C7" s="5" t="s">
        <v>7</v>
      </c>
    </row>
    <row r="8" customFormat="false" ht="30" hidden="false" customHeight="true" outlineLevel="0" collapsed="false">
      <c r="B8" s="3" t="s">
        <v>8</v>
      </c>
      <c r="C8" s="5" t="s">
        <v>9</v>
      </c>
    </row>
    <row r="9" customFormat="false" ht="30" hidden="false" customHeight="true" outlineLevel="0" collapsed="false">
      <c r="B9" s="3" t="s">
        <v>10</v>
      </c>
      <c r="C9" s="5" t="s">
        <v>11</v>
      </c>
    </row>
    <row r="10" customFormat="false" ht="30" hidden="false" customHeight="true" outlineLevel="0" collapsed="false">
      <c r="B10" s="3" t="s">
        <v>12</v>
      </c>
      <c r="C10" s="5" t="s">
        <v>13</v>
      </c>
    </row>
    <row r="11" customFormat="false" ht="30" hidden="false" customHeight="true" outlineLevel="0" collapsed="false">
      <c r="B11" s="3" t="s">
        <v>14</v>
      </c>
      <c r="C11" s="5" t="s">
        <v>15</v>
      </c>
    </row>
    <row r="13" customFormat="false" ht="15" hidden="false" customHeight="false" outlineLevel="0" collapsed="false">
      <c r="B13" s="6" t="s">
        <v>16</v>
      </c>
    </row>
    <row r="14" customFormat="false" ht="27.75" hidden="false" customHeight="true" outlineLevel="0" collapsed="false">
      <c r="C14" s="7" t="s">
        <v>17</v>
      </c>
    </row>
    <row r="15" customFormat="false" ht="27.75" hidden="false" customHeight="true" outlineLevel="0" collapsed="false">
      <c r="C15" s="7" t="s">
        <v>18</v>
      </c>
    </row>
    <row r="16" customFormat="false" ht="27.75" hidden="false" customHeight="true" outlineLevel="0" collapsed="false">
      <c r="C16" s="7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95"/>
  </cols>
  <sheetData>
    <row r="2" customFormat="false" ht="19.4" hidden="false" customHeight="false" outlineLevel="0" collapsed="false">
      <c r="B2" s="1" t="s">
        <v>20</v>
      </c>
    </row>
    <row r="4" customFormat="false" ht="15" hidden="false" customHeight="false" outlineLevel="0" collapsed="false">
      <c r="B4" s="8" t="s">
        <v>21</v>
      </c>
    </row>
    <row r="5" customFormat="false" ht="15" hidden="false" customHeight="false" outlineLevel="0" collapsed="false">
      <c r="B5" s="9" t="s">
        <v>22</v>
      </c>
      <c r="D5" s="4" t="s">
        <v>23</v>
      </c>
    </row>
    <row r="6" customFormat="false" ht="15" hidden="false" customHeight="false" outlineLevel="0" collapsed="false">
      <c r="B6" s="9" t="s">
        <v>24</v>
      </c>
      <c r="D6" s="4" t="s">
        <v>25</v>
      </c>
    </row>
    <row r="7" customFormat="false" ht="15" hidden="false" customHeight="false" outlineLevel="0" collapsed="false">
      <c r="B7" s="9" t="s">
        <v>26</v>
      </c>
      <c r="D7" s="4" t="s">
        <v>27</v>
      </c>
    </row>
    <row r="8" customFormat="false" ht="15" hidden="false" customHeight="false" outlineLevel="0" collapsed="false">
      <c r="B8" s="9" t="s">
        <v>28</v>
      </c>
      <c r="D8" s="5" t="s">
        <v>29</v>
      </c>
    </row>
    <row r="10" customFormat="false" ht="15" hidden="false" customHeight="false" outlineLevel="0" collapsed="false">
      <c r="B10" s="8" t="s">
        <v>30</v>
      </c>
    </row>
    <row r="11" customFormat="false" ht="15" hidden="false" customHeight="false" outlineLevel="0" collapsed="false">
      <c r="B11" s="9" t="s">
        <v>31</v>
      </c>
      <c r="D11" s="5" t="s">
        <v>32</v>
      </c>
    </row>
    <row r="12" customFormat="false" ht="15" hidden="false" customHeight="false" outlineLevel="0" collapsed="false">
      <c r="B12" s="9" t="s">
        <v>33</v>
      </c>
      <c r="D12" s="5" t="s">
        <v>34</v>
      </c>
    </row>
    <row r="14" customFormat="false" ht="15" hidden="false" customHeight="false" outlineLevel="0" collapsed="false">
      <c r="B14" s="8" t="s">
        <v>35</v>
      </c>
    </row>
    <row r="15" customFormat="false" ht="27.75" hidden="false" customHeight="true" outlineLevel="0" collapsed="false">
      <c r="B15" s="9" t="s">
        <v>36</v>
      </c>
      <c r="D15" s="4" t="s">
        <v>37</v>
      </c>
    </row>
    <row r="16" customFormat="false" ht="27.75" hidden="false" customHeight="true" outlineLevel="0" collapsed="false">
      <c r="B16" s="9" t="s">
        <v>38</v>
      </c>
      <c r="D16" s="4" t="s">
        <v>39</v>
      </c>
    </row>
    <row r="17" customFormat="false" ht="27.75" hidden="false" customHeight="true" outlineLevel="0" collapsed="false">
      <c r="B17" s="9" t="s">
        <v>40</v>
      </c>
      <c r="D17" s="5" t="s">
        <v>41</v>
      </c>
    </row>
    <row r="18" customFormat="false" ht="27.75" hidden="false" customHeight="true" outlineLevel="0" collapsed="false">
      <c r="B18" s="9" t="s">
        <v>42</v>
      </c>
      <c r="D18" s="5" t="s">
        <v>43</v>
      </c>
    </row>
    <row r="20" customFormat="false" ht="15" hidden="false" customHeight="false" outlineLevel="0" collapsed="false">
      <c r="B20" s="8" t="s">
        <v>44</v>
      </c>
    </row>
    <row r="21" customFormat="false" ht="27.75" hidden="false" customHeight="true" outlineLevel="0" collapsed="false">
      <c r="B21" s="9" t="s">
        <v>45</v>
      </c>
      <c r="D21" s="5" t="s">
        <v>46</v>
      </c>
    </row>
    <row r="22" customFormat="false" ht="27.75" hidden="false" customHeight="true" outlineLevel="0" collapsed="false">
      <c r="B22" s="9" t="s">
        <v>47</v>
      </c>
      <c r="D22" s="5" t="s">
        <v>48</v>
      </c>
    </row>
    <row r="23" customFormat="false" ht="27.75" hidden="false" customHeight="true" outlineLevel="0" collapsed="false">
      <c r="B23" s="9" t="s">
        <v>49</v>
      </c>
      <c r="D23" s="5" t="s">
        <v>50</v>
      </c>
    </row>
    <row r="25" customFormat="false" ht="15" hidden="false" customHeight="false" outlineLevel="0" collapsed="false">
      <c r="B25" s="8" t="s">
        <v>51</v>
      </c>
    </row>
    <row r="26" customFormat="false" ht="15" hidden="false" customHeight="false" outlineLevel="0" collapsed="false">
      <c r="B26" s="10" t="s">
        <v>52</v>
      </c>
      <c r="C26" s="11" t="n">
        <f aca="false">INDEX(確率DB!$E$4:$E$27,MATCH("温度計／故障",確率DB!$B$4:$B$27,0))*720/2</f>
        <v>0.03492</v>
      </c>
      <c r="D26" s="12" t="s">
        <v>53</v>
      </c>
    </row>
    <row r="27" customFormat="false" ht="15" hidden="false" customHeight="false" outlineLevel="0" collapsed="false">
      <c r="B27" s="13" t="s">
        <v>54</v>
      </c>
      <c r="C27" s="14" t="n">
        <f aca="false">0.3+0.08</f>
        <v>0.38</v>
      </c>
      <c r="D27" s="12" t="s">
        <v>55</v>
      </c>
    </row>
    <row r="28" customFormat="false" ht="15" hidden="false" customHeight="false" outlineLevel="0" collapsed="false">
      <c r="B28" s="10" t="s">
        <v>56</v>
      </c>
      <c r="C28" s="14" t="n">
        <f aca="false">0.0001*8760</f>
        <v>0.876</v>
      </c>
      <c r="D28" s="15" t="s">
        <v>57</v>
      </c>
    </row>
    <row r="30" customFormat="false" ht="15" hidden="false" customHeight="false" outlineLevel="0" collapsed="false">
      <c r="B30" s="8" t="s">
        <v>58</v>
      </c>
    </row>
    <row r="31" customFormat="false" ht="39.75" hidden="false" customHeight="true" outlineLevel="0" collapsed="false">
      <c r="D31" s="7" t="s">
        <v>59</v>
      </c>
    </row>
    <row r="33" customFormat="false" ht="25.35" hidden="false" customHeight="false" outlineLevel="0" collapsed="false">
      <c r="D33" s="1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40"/>
    <col collapsed="false" customWidth="true" hidden="false" outlineLevel="0" max="10" min="10" style="0" width="46"/>
  </cols>
  <sheetData>
    <row r="1" customFormat="false" ht="19.4" hidden="false" customHeight="false" outlineLevel="0" collapsed="false">
      <c r="A1" s="16" t="s">
        <v>61</v>
      </c>
    </row>
    <row r="2" customFormat="false" ht="15" hidden="false" customHeight="false" outlineLevel="0" collapsed="false">
      <c r="A2" s="2" t="s">
        <v>62</v>
      </c>
    </row>
    <row r="3" customFormat="false" ht="15" hidden="false" customHeight="false" outlineLevel="0" collapsed="false">
      <c r="A3" s="17" t="s">
        <v>63</v>
      </c>
      <c r="B3" s="17" t="s">
        <v>64</v>
      </c>
      <c r="C3" s="17" t="s">
        <v>65</v>
      </c>
      <c r="D3" s="17" t="s">
        <v>66</v>
      </c>
      <c r="E3" s="17" t="s">
        <v>67</v>
      </c>
      <c r="F3" s="17" t="s">
        <v>68</v>
      </c>
      <c r="G3" s="17" t="s">
        <v>69</v>
      </c>
      <c r="H3" s="17" t="s">
        <v>70</v>
      </c>
      <c r="I3" s="17" t="s">
        <v>71</v>
      </c>
      <c r="J3" s="17" t="s">
        <v>72</v>
      </c>
    </row>
    <row r="4" customFormat="false" ht="23.85" hidden="false" customHeight="false" outlineLevel="0" collapsed="false">
      <c r="A4" s="10" t="s">
        <v>73</v>
      </c>
      <c r="B4" s="13" t="s">
        <v>74</v>
      </c>
      <c r="C4" s="13" t="s">
        <v>75</v>
      </c>
      <c r="D4" s="10" t="s">
        <v>76</v>
      </c>
      <c r="E4" s="11" t="n">
        <v>5.28E-010</v>
      </c>
      <c r="F4" s="18"/>
      <c r="G4" s="11" t="n">
        <v>1.94E-007</v>
      </c>
      <c r="H4" s="11" t="str">
        <f aca="false">IF(F4="","",E4*F4/2)</f>
        <v/>
      </c>
      <c r="I4" s="19" t="s">
        <v>77</v>
      </c>
      <c r="J4" s="19" t="s">
        <v>78</v>
      </c>
    </row>
    <row r="5" customFormat="false" ht="23.85" hidden="false" customHeight="false" outlineLevel="0" collapsed="false">
      <c r="A5" s="10" t="s">
        <v>79</v>
      </c>
      <c r="B5" s="10" t="s">
        <v>80</v>
      </c>
      <c r="C5" s="10" t="s">
        <v>81</v>
      </c>
      <c r="D5" s="10" t="s">
        <v>76</v>
      </c>
      <c r="E5" s="11" t="n">
        <v>9.7E-005</v>
      </c>
      <c r="F5" s="18" t="n">
        <v>720</v>
      </c>
      <c r="G5" s="11" t="n">
        <v>0.035</v>
      </c>
      <c r="H5" s="11" t="n">
        <f aca="false">IF(F5="","",E5*F5/2)</f>
        <v>0.03492</v>
      </c>
      <c r="I5" s="19" t="s">
        <v>77</v>
      </c>
      <c r="J5" s="20" t="s">
        <v>82</v>
      </c>
    </row>
    <row r="6" customFormat="false" ht="23.85" hidden="false" customHeight="false" outlineLevel="0" collapsed="false">
      <c r="A6" s="10" t="s">
        <v>79</v>
      </c>
      <c r="B6" s="10" t="s">
        <v>83</v>
      </c>
      <c r="C6" s="10" t="s">
        <v>84</v>
      </c>
      <c r="D6" s="10" t="s">
        <v>76</v>
      </c>
      <c r="E6" s="11" t="n">
        <v>0.00012</v>
      </c>
      <c r="F6" s="18" t="n">
        <v>720</v>
      </c>
      <c r="G6" s="11" t="n">
        <v>0.0433</v>
      </c>
      <c r="H6" s="11" t="n">
        <f aca="false">IF(F6="","",E6*F6/2)</f>
        <v>0.0432</v>
      </c>
      <c r="I6" s="19" t="s">
        <v>77</v>
      </c>
      <c r="J6" s="20" t="s">
        <v>82</v>
      </c>
    </row>
    <row r="7" customFormat="false" ht="23.85" hidden="false" customHeight="false" outlineLevel="0" collapsed="false">
      <c r="A7" s="10" t="s">
        <v>79</v>
      </c>
      <c r="B7" s="10" t="s">
        <v>85</v>
      </c>
      <c r="C7" s="10" t="s">
        <v>86</v>
      </c>
      <c r="D7" s="10" t="s">
        <v>76</v>
      </c>
      <c r="E7" s="11" t="n">
        <v>0.00019</v>
      </c>
      <c r="F7" s="18" t="n">
        <v>720</v>
      </c>
      <c r="G7" s="11" t="n">
        <v>0.0685</v>
      </c>
      <c r="H7" s="11" t="n">
        <f aca="false">IF(F7="","",E7*F7/2)</f>
        <v>0.0684</v>
      </c>
      <c r="I7" s="19" t="s">
        <v>77</v>
      </c>
      <c r="J7" s="20" t="s">
        <v>82</v>
      </c>
    </row>
    <row r="8" customFormat="false" ht="23.85" hidden="false" customHeight="false" outlineLevel="0" collapsed="false">
      <c r="A8" s="10" t="s">
        <v>79</v>
      </c>
      <c r="B8" s="10" t="s">
        <v>87</v>
      </c>
      <c r="C8" s="10" t="s">
        <v>88</v>
      </c>
      <c r="D8" s="10" t="s">
        <v>76</v>
      </c>
      <c r="E8" s="11" t="n">
        <v>0.00022</v>
      </c>
      <c r="F8" s="18" t="n">
        <v>720</v>
      </c>
      <c r="G8" s="11" t="n">
        <v>0.0793</v>
      </c>
      <c r="H8" s="11" t="n">
        <f aca="false">IF(F8="","",E8*F8/2)</f>
        <v>0.0792</v>
      </c>
      <c r="I8" s="19" t="s">
        <v>77</v>
      </c>
      <c r="J8" s="20" t="s">
        <v>82</v>
      </c>
    </row>
    <row r="9" customFormat="false" ht="23.85" hidden="false" customHeight="false" outlineLevel="0" collapsed="false">
      <c r="A9" s="10" t="s">
        <v>79</v>
      </c>
      <c r="B9" s="10" t="s">
        <v>89</v>
      </c>
      <c r="C9" s="10" t="s">
        <v>90</v>
      </c>
      <c r="D9" s="10" t="s">
        <v>76</v>
      </c>
      <c r="E9" s="11" t="n">
        <v>0.00097</v>
      </c>
      <c r="F9" s="18"/>
      <c r="G9" s="11" t="n">
        <v>0.093</v>
      </c>
      <c r="H9" s="11" t="str">
        <f aca="false">IF(F9="","",E9*F9/2)</f>
        <v/>
      </c>
      <c r="I9" s="19" t="s">
        <v>77</v>
      </c>
      <c r="J9" s="20"/>
    </row>
    <row r="10" customFormat="false" ht="23.85" hidden="false" customHeight="false" outlineLevel="0" collapsed="false">
      <c r="A10" s="10" t="s">
        <v>91</v>
      </c>
      <c r="B10" s="10" t="s">
        <v>92</v>
      </c>
      <c r="C10" s="10" t="s">
        <v>93</v>
      </c>
      <c r="D10" s="10" t="s">
        <v>76</v>
      </c>
      <c r="E10" s="11" t="n">
        <v>7.7E-007</v>
      </c>
      <c r="F10" s="18"/>
      <c r="G10" s="11" t="n">
        <v>9.3E-006</v>
      </c>
      <c r="H10" s="11" t="str">
        <f aca="false">IF(F10="","",E10*F10/2)</f>
        <v/>
      </c>
      <c r="I10" s="19" t="s">
        <v>77</v>
      </c>
      <c r="J10" s="20"/>
    </row>
    <row r="11" customFormat="false" ht="23.85" hidden="false" customHeight="false" outlineLevel="0" collapsed="false">
      <c r="A11" s="10" t="s">
        <v>94</v>
      </c>
      <c r="B11" s="10" t="s">
        <v>95</v>
      </c>
      <c r="C11" s="10" t="s">
        <v>96</v>
      </c>
      <c r="D11" s="10" t="s">
        <v>76</v>
      </c>
      <c r="E11" s="11" t="n">
        <v>2E-006</v>
      </c>
      <c r="F11" s="18"/>
      <c r="G11" s="11" t="n">
        <v>0.00069</v>
      </c>
      <c r="H11" s="11" t="str">
        <f aca="false">IF(F11="","",E11*F11/2)</f>
        <v/>
      </c>
      <c r="I11" s="19" t="s">
        <v>77</v>
      </c>
      <c r="J11" s="20" t="s">
        <v>97</v>
      </c>
    </row>
    <row r="12" customFormat="false" ht="23.85" hidden="false" customHeight="false" outlineLevel="0" collapsed="false">
      <c r="A12" s="10" t="s">
        <v>98</v>
      </c>
      <c r="B12" s="10" t="s">
        <v>99</v>
      </c>
      <c r="C12" s="10" t="s">
        <v>100</v>
      </c>
      <c r="D12" s="10" t="s">
        <v>76</v>
      </c>
      <c r="E12" s="11" t="n">
        <v>3.6E-006</v>
      </c>
      <c r="F12" s="18"/>
      <c r="G12" s="11" t="n">
        <v>0.0022</v>
      </c>
      <c r="H12" s="11" t="str">
        <f aca="false">IF(F12="","",E12*F12/2)</f>
        <v/>
      </c>
      <c r="I12" s="19" t="s">
        <v>77</v>
      </c>
      <c r="J12" s="20" t="s">
        <v>101</v>
      </c>
    </row>
    <row r="13" customFormat="false" ht="23.85" hidden="false" customHeight="false" outlineLevel="0" collapsed="false">
      <c r="A13" s="10" t="s">
        <v>98</v>
      </c>
      <c r="B13" s="10" t="s">
        <v>102</v>
      </c>
      <c r="C13" s="10" t="s">
        <v>103</v>
      </c>
      <c r="D13" s="10" t="s">
        <v>76</v>
      </c>
      <c r="E13" s="11" t="n">
        <v>4.9E-005</v>
      </c>
      <c r="F13" s="18"/>
      <c r="G13" s="11" t="n">
        <v>0.0029</v>
      </c>
      <c r="H13" s="11" t="str">
        <f aca="false">IF(F13="","",E13*F13/2)</f>
        <v/>
      </c>
      <c r="I13" s="19" t="s">
        <v>77</v>
      </c>
      <c r="J13" s="20"/>
    </row>
    <row r="14" customFormat="false" ht="23.85" hidden="false" customHeight="false" outlineLevel="0" collapsed="false">
      <c r="A14" s="10" t="s">
        <v>104</v>
      </c>
      <c r="B14" s="10" t="s">
        <v>105</v>
      </c>
      <c r="C14" s="10" t="s">
        <v>106</v>
      </c>
      <c r="D14" s="10" t="s">
        <v>76</v>
      </c>
      <c r="E14" s="11" t="n">
        <v>4.4E-005</v>
      </c>
      <c r="F14" s="18"/>
      <c r="G14" s="11" t="n">
        <v>0.002</v>
      </c>
      <c r="H14" s="11" t="str">
        <f aca="false">IF(F14="","",E14*F14/2)</f>
        <v/>
      </c>
      <c r="I14" s="19" t="s">
        <v>77</v>
      </c>
      <c r="J14" s="20"/>
    </row>
    <row r="15" customFormat="false" ht="23.85" hidden="false" customHeight="false" outlineLevel="0" collapsed="false">
      <c r="A15" s="10" t="s">
        <v>104</v>
      </c>
      <c r="B15" s="10" t="s">
        <v>107</v>
      </c>
      <c r="C15" s="10" t="s">
        <v>108</v>
      </c>
      <c r="D15" s="10" t="s">
        <v>76</v>
      </c>
      <c r="E15" s="11" t="n">
        <v>2.8E-005</v>
      </c>
      <c r="F15" s="18"/>
      <c r="G15" s="11" t="n">
        <v>0</v>
      </c>
      <c r="H15" s="11" t="str">
        <f aca="false">IF(F15="","",E15*F15/2)</f>
        <v/>
      </c>
      <c r="I15" s="19" t="s">
        <v>77</v>
      </c>
      <c r="J15" s="20" t="s">
        <v>109</v>
      </c>
    </row>
    <row r="16" customFormat="false" ht="23.85" hidden="false" customHeight="false" outlineLevel="0" collapsed="false">
      <c r="A16" s="10" t="s">
        <v>104</v>
      </c>
      <c r="B16" s="10" t="s">
        <v>110</v>
      </c>
      <c r="C16" s="10" t="s">
        <v>111</v>
      </c>
      <c r="D16" s="10" t="s">
        <v>76</v>
      </c>
      <c r="E16" s="11" t="n">
        <v>3.2E-006</v>
      </c>
      <c r="F16" s="18"/>
      <c r="G16" s="11" t="n">
        <v>0.0022</v>
      </c>
      <c r="H16" s="11" t="str">
        <f aca="false">IF(F16="","",E16*F16/2)</f>
        <v/>
      </c>
      <c r="I16" s="19" t="s">
        <v>77</v>
      </c>
      <c r="J16" s="20"/>
    </row>
    <row r="17" customFormat="false" ht="23.85" hidden="false" customHeight="false" outlineLevel="0" collapsed="false">
      <c r="A17" s="10" t="s">
        <v>104</v>
      </c>
      <c r="B17" s="10" t="s">
        <v>112</v>
      </c>
      <c r="C17" s="10" t="s">
        <v>113</v>
      </c>
      <c r="D17" s="10" t="s">
        <v>76</v>
      </c>
      <c r="E17" s="11" t="n">
        <v>1.7E-006</v>
      </c>
      <c r="F17" s="18"/>
      <c r="G17" s="11" t="n">
        <v>0.00022</v>
      </c>
      <c r="H17" s="11" t="str">
        <f aca="false">IF(F17="","",E17*F17/2)</f>
        <v/>
      </c>
      <c r="I17" s="19" t="s">
        <v>77</v>
      </c>
      <c r="J17" s="20"/>
    </row>
    <row r="18" customFormat="false" ht="23.85" hidden="false" customHeight="false" outlineLevel="0" collapsed="false">
      <c r="A18" s="10" t="s">
        <v>114</v>
      </c>
      <c r="B18" s="10" t="s">
        <v>115</v>
      </c>
      <c r="C18" s="10" t="s">
        <v>114</v>
      </c>
      <c r="D18" s="10" t="s">
        <v>116</v>
      </c>
      <c r="E18" s="11"/>
      <c r="F18" s="18"/>
      <c r="G18" s="11" t="n">
        <v>0.0001</v>
      </c>
      <c r="H18" s="11" t="str">
        <f aca="false">IF(F18="","",E18*F18/2)</f>
        <v/>
      </c>
      <c r="I18" s="19" t="s">
        <v>77</v>
      </c>
      <c r="J18" s="20"/>
    </row>
    <row r="19" customFormat="false" ht="23.85" hidden="false" customHeight="false" outlineLevel="0" collapsed="false">
      <c r="A19" s="10" t="s">
        <v>114</v>
      </c>
      <c r="B19" s="10" t="s">
        <v>117</v>
      </c>
      <c r="C19" s="10" t="s">
        <v>114</v>
      </c>
      <c r="D19" s="10" t="s">
        <v>118</v>
      </c>
      <c r="E19" s="11"/>
      <c r="F19" s="18"/>
      <c r="G19" s="11" t="n">
        <v>0.3</v>
      </c>
      <c r="H19" s="11" t="str">
        <f aca="false">IF(F19="","",E19*F19/2)</f>
        <v/>
      </c>
      <c r="I19" s="19" t="s">
        <v>77</v>
      </c>
      <c r="J19" s="20"/>
    </row>
    <row r="20" customFormat="false" ht="23.85" hidden="false" customHeight="false" outlineLevel="0" collapsed="false">
      <c r="A20" s="10" t="s">
        <v>114</v>
      </c>
      <c r="B20" s="10" t="s">
        <v>119</v>
      </c>
      <c r="C20" s="10" t="s">
        <v>114</v>
      </c>
      <c r="D20" s="10" t="s">
        <v>120</v>
      </c>
      <c r="E20" s="11"/>
      <c r="F20" s="18"/>
      <c r="G20" s="11" t="n">
        <v>0.006</v>
      </c>
      <c r="H20" s="11" t="str">
        <f aca="false">IF(F20="","",E20*F20/2)</f>
        <v/>
      </c>
      <c r="I20" s="19" t="s">
        <v>77</v>
      </c>
      <c r="J20" s="20"/>
    </row>
    <row r="21" customFormat="false" ht="23.85" hidden="false" customHeight="false" outlineLevel="0" collapsed="false">
      <c r="A21" s="10" t="s">
        <v>114</v>
      </c>
      <c r="B21" s="10" t="s">
        <v>121</v>
      </c>
      <c r="C21" s="10" t="s">
        <v>114</v>
      </c>
      <c r="D21" s="10" t="s">
        <v>122</v>
      </c>
      <c r="E21" s="11"/>
      <c r="F21" s="18"/>
      <c r="G21" s="11" t="n">
        <v>0.0003</v>
      </c>
      <c r="H21" s="11" t="str">
        <f aca="false">IF(F21="","",E21*F21/2)</f>
        <v/>
      </c>
      <c r="I21" s="19" t="s">
        <v>77</v>
      </c>
      <c r="J21" s="20"/>
    </row>
    <row r="22" customFormat="false" ht="15" hidden="false" customHeight="false" outlineLevel="0" collapsed="false">
      <c r="A22" s="21"/>
      <c r="B22" s="21"/>
      <c r="C22" s="21"/>
      <c r="D22" s="21"/>
      <c r="E22" s="21"/>
      <c r="F22" s="21"/>
      <c r="G22" s="21"/>
      <c r="H22" s="22"/>
      <c r="I22" s="22"/>
      <c r="J22" s="22"/>
    </row>
    <row r="23" customFormat="false" ht="15" hidden="false" customHeight="false" outlineLevel="0" collapsed="false">
      <c r="A23" s="21"/>
      <c r="B23" s="21"/>
      <c r="C23" s="21"/>
      <c r="D23" s="21"/>
      <c r="E23" s="21"/>
      <c r="F23" s="21"/>
      <c r="G23" s="21"/>
      <c r="H23" s="22"/>
      <c r="I23" s="22"/>
      <c r="J23" s="22"/>
    </row>
    <row r="24" customFormat="false" ht="15" hidden="false" customHeight="false" outlineLevel="0" collapsed="false">
      <c r="A24" s="21"/>
      <c r="B24" s="21"/>
      <c r="C24" s="21"/>
      <c r="D24" s="21"/>
      <c r="E24" s="21"/>
      <c r="F24" s="21"/>
      <c r="G24" s="21"/>
      <c r="H24" s="22"/>
      <c r="I24" s="22"/>
      <c r="J24" s="22"/>
    </row>
    <row r="25" customFormat="false" ht="15" hidden="false" customHeight="false" outlineLevel="0" collapsed="false">
      <c r="A25" s="21"/>
      <c r="B25" s="21"/>
      <c r="C25" s="21"/>
      <c r="D25" s="21"/>
      <c r="E25" s="21"/>
      <c r="F25" s="21"/>
      <c r="G25" s="21"/>
      <c r="H25" s="22"/>
      <c r="I25" s="22"/>
      <c r="J25" s="22"/>
    </row>
    <row r="26" customFormat="false" ht="15" hidden="false" customHeight="false" outlineLevel="0" collapsed="false">
      <c r="A26" s="21"/>
      <c r="B26" s="21"/>
      <c r="C26" s="21"/>
      <c r="D26" s="21"/>
      <c r="E26" s="21"/>
      <c r="F26" s="21"/>
      <c r="G26" s="21"/>
      <c r="H26" s="22"/>
      <c r="I26" s="22"/>
      <c r="J26" s="22"/>
    </row>
    <row r="27" customFormat="false" ht="15" hidden="false" customHeight="false" outlineLevel="0" collapsed="false">
      <c r="A27" s="21"/>
      <c r="B27" s="21"/>
      <c r="C27" s="21"/>
      <c r="D27" s="21"/>
      <c r="E27" s="21"/>
      <c r="F27" s="21"/>
      <c r="G27" s="21"/>
      <c r="H27" s="22"/>
      <c r="I27" s="22"/>
      <c r="J27" s="22"/>
    </row>
    <row r="28" customFormat="false" ht="15" hidden="false" customHeight="false" outlineLevel="0" collapsed="false">
      <c r="A28" s="2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8" min="3" style="0" width="24"/>
    <col collapsed="false" customWidth="true" hidden="false" outlineLevel="0" max="14" min="9" style="0" width="11"/>
    <col collapsed="false" customWidth="true" hidden="false" outlineLevel="0" max="16" min="15" style="0" width="12"/>
    <col collapsed="false" customWidth="true" hidden="false" outlineLevel="0" max="17" min="17" style="0" width="7"/>
    <col collapsed="false" customWidth="true" hidden="false" outlineLevel="0" max="18" min="18" style="0" width="12"/>
    <col collapsed="false" customWidth="true" hidden="false" outlineLevel="0" max="19" min="19" style="0" width="15"/>
  </cols>
  <sheetData>
    <row r="1" customFormat="false" ht="17.35" hidden="false" customHeight="false" outlineLevel="0" collapsed="false">
      <c r="A1" s="16" t="s">
        <v>124</v>
      </c>
    </row>
    <row r="2" customFormat="false" ht="15" hidden="false" customHeight="false" outlineLevel="0" collapsed="false">
      <c r="A2" s="2" t="s">
        <v>125</v>
      </c>
    </row>
    <row r="4" customFormat="false" ht="15" hidden="false" customHeight="false" outlineLevel="0" collapsed="false">
      <c r="B4" s="8" t="s">
        <v>126</v>
      </c>
    </row>
    <row r="5" customFormat="false" ht="25.35" hidden="false" customHeight="false" outlineLevel="0" collapsed="false">
      <c r="B5" s="10" t="s">
        <v>127</v>
      </c>
      <c r="C5" s="23" t="n">
        <v>8760</v>
      </c>
      <c r="D5" s="12" t="s">
        <v>128</v>
      </c>
    </row>
    <row r="7" customFormat="false" ht="15" hidden="false" customHeight="false" outlineLevel="0" collapsed="false">
      <c r="B7" s="8" t="s">
        <v>129</v>
      </c>
      <c r="D7" s="2" t="s">
        <v>130</v>
      </c>
    </row>
    <row r="8" customFormat="false" ht="15" hidden="false" customHeight="false" outlineLevel="0" collapsed="false">
      <c r="B8" s="24" t="s">
        <v>131</v>
      </c>
      <c r="C8" s="25" t="s">
        <v>132</v>
      </c>
      <c r="D8" s="24" t="s">
        <v>133</v>
      </c>
    </row>
    <row r="9" customFormat="false" ht="15" hidden="false" customHeight="false" outlineLevel="0" collapsed="false">
      <c r="B9" s="26" t="s">
        <v>83</v>
      </c>
      <c r="C9" s="11" t="n">
        <f aca="false">IFERROR(INDEX(確率DB!$E$4:$E$27,MATCH(B9,確率DB!$B$4:$B$27,0)),0)</f>
        <v>0.00012</v>
      </c>
      <c r="D9" s="21" t="s">
        <v>134</v>
      </c>
    </row>
    <row r="10" customFormat="false" ht="15" hidden="false" customHeight="false" outlineLevel="0" collapsed="false">
      <c r="B10" s="21" t="s">
        <v>135</v>
      </c>
      <c r="C10" s="11" t="n">
        <f aca="false">IFERROR(INDEX(確率DB!$E$4:$E$27,MATCH(B10,確率DB!$B$4:$B$27,0)),0)</f>
        <v>5.28E-010</v>
      </c>
      <c r="D10" s="26" t="s">
        <v>136</v>
      </c>
    </row>
    <row r="11" customFormat="false" ht="15" hidden="false" customHeight="false" outlineLevel="0" collapsed="false">
      <c r="B11" s="26" t="s">
        <v>99</v>
      </c>
      <c r="C11" s="11" t="n">
        <f aca="false">IFERROR(INDEX(確率DB!$E$4:$E$27,MATCH(B11,確率DB!$B$4:$B$27,0)),0)</f>
        <v>3.6E-006</v>
      </c>
      <c r="D11" s="26" t="s">
        <v>137</v>
      </c>
    </row>
    <row r="12" customFormat="false" ht="15" hidden="false" customHeight="false" outlineLevel="0" collapsed="false">
      <c r="B12" s="21"/>
      <c r="C12" s="11" t="n">
        <f aca="false">IFERROR(INDEX(確率DB!$E$4:$E$27,MATCH(B12,確率DB!$B$4:$B$27,0)),0)</f>
        <v>0</v>
      </c>
      <c r="D12" s="21"/>
    </row>
    <row r="13" customFormat="false" ht="15" hidden="false" customHeight="false" outlineLevel="0" collapsed="false">
      <c r="B13" s="27" t="s">
        <v>138</v>
      </c>
      <c r="C13" s="28" t="n">
        <f aca="false">SUM(C9:C12)</f>
        <v>0.000123600528</v>
      </c>
    </row>
    <row r="14" customFormat="false" ht="15" hidden="false" customHeight="false" outlineLevel="0" collapsed="false">
      <c r="B14" s="29" t="s">
        <v>139</v>
      </c>
      <c r="C14" s="28" t="n">
        <f aca="false">C13*$C$5</f>
        <v>1.08274062528</v>
      </c>
    </row>
    <row r="16" customFormat="false" ht="15" hidden="false" customHeight="false" outlineLevel="0" collapsed="false">
      <c r="B16" s="8" t="s">
        <v>140</v>
      </c>
    </row>
    <row r="17" customFormat="false" ht="15" hidden="false" customHeight="false" outlineLevel="0" collapsed="false">
      <c r="B17" s="2" t="s">
        <v>141</v>
      </c>
    </row>
    <row r="18" customFormat="false" ht="30" hidden="false" customHeight="true" outlineLevel="0" collapsed="false">
      <c r="A18" s="17" t="s">
        <v>142</v>
      </c>
      <c r="B18" s="17" t="s">
        <v>143</v>
      </c>
      <c r="C18" s="17" t="s">
        <v>144</v>
      </c>
      <c r="D18" s="17" t="s">
        <v>145</v>
      </c>
      <c r="E18" s="17" t="s">
        <v>146</v>
      </c>
      <c r="F18" s="17" t="s">
        <v>147</v>
      </c>
      <c r="G18" s="17" t="s">
        <v>148</v>
      </c>
      <c r="H18" s="17" t="s">
        <v>149</v>
      </c>
      <c r="I18" s="30" t="s">
        <v>150</v>
      </c>
      <c r="J18" s="30" t="s">
        <v>151</v>
      </c>
      <c r="K18" s="30" t="s">
        <v>152</v>
      </c>
      <c r="L18" s="30" t="s">
        <v>153</v>
      </c>
      <c r="M18" s="30" t="s">
        <v>154</v>
      </c>
      <c r="N18" s="30" t="s">
        <v>155</v>
      </c>
      <c r="O18" s="17" t="s">
        <v>156</v>
      </c>
      <c r="P18" s="17" t="s">
        <v>157</v>
      </c>
      <c r="Q18" s="17" t="s">
        <v>158</v>
      </c>
      <c r="R18" s="17" t="s">
        <v>159</v>
      </c>
      <c r="S18" s="17" t="s">
        <v>160</v>
      </c>
    </row>
    <row r="19" customFormat="false" ht="30" hidden="false" customHeight="true" outlineLevel="0" collapsed="false">
      <c r="A19" s="31" t="n">
        <v>1</v>
      </c>
      <c r="B19" s="32" t="s">
        <v>161</v>
      </c>
      <c r="C19" s="33" t="s">
        <v>85</v>
      </c>
      <c r="D19" s="32" t="s">
        <v>135</v>
      </c>
      <c r="E19" s="33" t="s">
        <v>92</v>
      </c>
      <c r="F19" s="33" t="s">
        <v>115</v>
      </c>
      <c r="G19" s="33" t="s">
        <v>162</v>
      </c>
      <c r="H19" s="32"/>
      <c r="I19" s="11" t="n">
        <f aca="false">IFERROR(INDEX(確率DB!$G$4:$G$27,MATCH(C19,確率DB!$B$4:$B$27,0)),0)</f>
        <v>0.0685</v>
      </c>
      <c r="J19" s="11" t="n">
        <f aca="false">IFERROR(INDEX(確率DB!$G$4:$G$27,MATCH(D19,確率DB!$B$4:$B$27,0)),0)</f>
        <v>1.94E-007</v>
      </c>
      <c r="K19" s="11" t="n">
        <f aca="false">IFERROR(INDEX(確率DB!$G$4:$G$27,MATCH(E19,確率DB!$B$4:$B$27,0)),0)</f>
        <v>9.3E-006</v>
      </c>
      <c r="L19" s="11" t="n">
        <f aca="false">IFERROR(INDEX(確率DB!$G$4:$G$27,MATCH(F19,確率DB!$B$4:$B$27,0)),0)</f>
        <v>0.0001</v>
      </c>
      <c r="M19" s="11" t="n">
        <f aca="false">IFERROR(INDEX(確率DB!$G$4:$G$27,MATCH(G19,確率DB!$B$4:$B$27,0)),0)</f>
        <v>0.3</v>
      </c>
      <c r="N19" s="11" t="n">
        <f aca="false">IFERROR(INDEX(確率DB!$G$4:$G$27,MATCH(H19,確率DB!$B$4:$B$27,0)),0)</f>
        <v>0</v>
      </c>
      <c r="O19" s="11" t="n">
        <f aca="false">MIN(1,SUM(I19:N19))</f>
        <v>0.368609494</v>
      </c>
      <c r="P19" s="34"/>
      <c r="Q19" s="35" t="n">
        <v>1</v>
      </c>
      <c r="R19" s="11" t="n">
        <f aca="false">IF($B19="",1,IF($Q19=0,1,IF($P19&lt;&gt;"",$P19,$O19)))</f>
        <v>0.368609494</v>
      </c>
      <c r="S19" s="11" t="n">
        <f aca="false">$C$14*R19</f>
        <v>0.399108474017704</v>
      </c>
    </row>
    <row r="20" customFormat="false" ht="30" hidden="false" customHeight="true" outlineLevel="0" collapsed="false">
      <c r="A20" s="31" t="n">
        <v>2</v>
      </c>
      <c r="B20" s="32" t="s">
        <v>163</v>
      </c>
      <c r="C20" s="33" t="s">
        <v>87</v>
      </c>
      <c r="D20" s="33" t="s">
        <v>95</v>
      </c>
      <c r="E20" s="33" t="s">
        <v>99</v>
      </c>
      <c r="F20" s="32"/>
      <c r="G20" s="32"/>
      <c r="H20" s="32"/>
      <c r="I20" s="11" t="n">
        <f aca="false">IFERROR(INDEX(確率DB!$G$4:$G$27,MATCH(C20,確率DB!$B$4:$B$27,0)),0)</f>
        <v>0.0793</v>
      </c>
      <c r="J20" s="11" t="n">
        <f aca="false">IFERROR(INDEX(確率DB!$G$4:$G$27,MATCH(D20,確率DB!$B$4:$B$27,0)),0)</f>
        <v>0.00069</v>
      </c>
      <c r="K20" s="11" t="n">
        <f aca="false">IFERROR(INDEX(確率DB!$G$4:$G$27,MATCH(E20,確率DB!$B$4:$B$27,0)),0)</f>
        <v>0.0022</v>
      </c>
      <c r="L20" s="11" t="n">
        <f aca="false">IFERROR(INDEX(確率DB!$G$4:$G$27,MATCH(F20,確率DB!$B$4:$B$27,0)),0)</f>
        <v>0</v>
      </c>
      <c r="M20" s="11" t="n">
        <f aca="false">IFERROR(INDEX(確率DB!$G$4:$G$27,MATCH(G20,確率DB!$B$4:$B$27,0)),0)</f>
        <v>0</v>
      </c>
      <c r="N20" s="11" t="n">
        <f aca="false">IFERROR(INDEX(確率DB!$G$4:$G$27,MATCH(H20,確率DB!$B$4:$B$27,0)),0)</f>
        <v>0</v>
      </c>
      <c r="O20" s="11" t="n">
        <f aca="false">MIN(1,SUM(I20:N20))</f>
        <v>0.08219</v>
      </c>
      <c r="P20" s="34"/>
      <c r="Q20" s="35" t="n">
        <v>1</v>
      </c>
      <c r="R20" s="11" t="n">
        <f aca="false">IF($B20="",1,IF($Q20=0,1,IF($P20&lt;&gt;"",$P20,$O20)))</f>
        <v>0.08219</v>
      </c>
      <c r="S20" s="11" t="n">
        <f aca="false">S19*R20</f>
        <v>0.0328027254795151</v>
      </c>
    </row>
    <row r="21" customFormat="false" ht="30" hidden="false" customHeight="true" outlineLevel="0" collapsed="false">
      <c r="A21" s="31" t="n">
        <v>3</v>
      </c>
      <c r="B21" s="32"/>
      <c r="C21" s="32"/>
      <c r="D21" s="32"/>
      <c r="E21" s="32"/>
      <c r="F21" s="32"/>
      <c r="G21" s="32"/>
      <c r="H21" s="32"/>
      <c r="I21" s="11" t="n">
        <f aca="false">IFERROR(INDEX(確率DB!$G$4:$G$27,MATCH(C21,確率DB!$B$4:$B$27,0)),0)</f>
        <v>0</v>
      </c>
      <c r="J21" s="11" t="n">
        <f aca="false">IFERROR(INDEX(確率DB!$G$4:$G$27,MATCH(D21,確率DB!$B$4:$B$27,0)),0)</f>
        <v>0</v>
      </c>
      <c r="K21" s="11" t="n">
        <f aca="false">IFERROR(INDEX(確率DB!$G$4:$G$27,MATCH(E21,確率DB!$B$4:$B$27,0)),0)</f>
        <v>0</v>
      </c>
      <c r="L21" s="11" t="n">
        <f aca="false">IFERROR(INDEX(確率DB!$G$4:$G$27,MATCH(F21,確率DB!$B$4:$B$27,0)),0)</f>
        <v>0</v>
      </c>
      <c r="M21" s="11" t="n">
        <f aca="false">IFERROR(INDEX(確率DB!$G$4:$G$27,MATCH(G21,確率DB!$B$4:$B$27,0)),0)</f>
        <v>0</v>
      </c>
      <c r="N21" s="11" t="n">
        <f aca="false">IFERROR(INDEX(確率DB!$G$4:$G$27,MATCH(H21,確率DB!$B$4:$B$27,0)),0)</f>
        <v>0</v>
      </c>
      <c r="O21" s="11" t="n">
        <f aca="false">MIN(1,SUM(I21:N21))</f>
        <v>0</v>
      </c>
      <c r="P21" s="34"/>
      <c r="Q21" s="35" t="n">
        <v>1</v>
      </c>
      <c r="R21" s="11" t="n">
        <f aca="false">IF($B21="",1,IF($Q21=0,1,IF($P21&lt;&gt;"",$P21,$O21)))</f>
        <v>1</v>
      </c>
      <c r="S21" s="11" t="n">
        <f aca="false">S20*R21</f>
        <v>0.0328027254795151</v>
      </c>
    </row>
    <row r="22" customFormat="false" ht="30" hidden="false" customHeight="true" outlineLevel="0" collapsed="false">
      <c r="A22" s="31" t="n">
        <v>4</v>
      </c>
      <c r="B22" s="32"/>
      <c r="C22" s="32"/>
      <c r="D22" s="32"/>
      <c r="E22" s="32"/>
      <c r="F22" s="32"/>
      <c r="G22" s="32"/>
      <c r="H22" s="32"/>
      <c r="I22" s="11" t="n">
        <f aca="false">IFERROR(INDEX(確率DB!$G$4:$G$27,MATCH(C22,確率DB!$B$4:$B$27,0)),0)</f>
        <v>0</v>
      </c>
      <c r="J22" s="11" t="n">
        <f aca="false">IFERROR(INDEX(確率DB!$G$4:$G$27,MATCH(D22,確率DB!$B$4:$B$27,0)),0)</f>
        <v>0</v>
      </c>
      <c r="K22" s="11" t="n">
        <f aca="false">IFERROR(INDEX(確率DB!$G$4:$G$27,MATCH(E22,確率DB!$B$4:$B$27,0)),0)</f>
        <v>0</v>
      </c>
      <c r="L22" s="11" t="n">
        <f aca="false">IFERROR(INDEX(確率DB!$G$4:$G$27,MATCH(F22,確率DB!$B$4:$B$27,0)),0)</f>
        <v>0</v>
      </c>
      <c r="M22" s="11" t="n">
        <f aca="false">IFERROR(INDEX(確率DB!$G$4:$G$27,MATCH(G22,確率DB!$B$4:$B$27,0)),0)</f>
        <v>0</v>
      </c>
      <c r="N22" s="11" t="n">
        <f aca="false">IFERROR(INDEX(確率DB!$G$4:$G$27,MATCH(H22,確率DB!$B$4:$B$27,0)),0)</f>
        <v>0</v>
      </c>
      <c r="O22" s="11" t="n">
        <f aca="false">MIN(1,SUM(I22:N22))</f>
        <v>0</v>
      </c>
      <c r="P22" s="34"/>
      <c r="Q22" s="35" t="n">
        <v>1</v>
      </c>
      <c r="R22" s="11" t="n">
        <f aca="false">IF($B22="",1,IF($Q22=0,1,IF($P22&lt;&gt;"",$P22,$O22)))</f>
        <v>1</v>
      </c>
      <c r="S22" s="11" t="n">
        <f aca="false">S21*R22</f>
        <v>0.0328027254795151</v>
      </c>
    </row>
    <row r="23" customFormat="false" ht="30" hidden="false" customHeight="true" outlineLevel="0" collapsed="false">
      <c r="A23" s="31" t="n">
        <v>5</v>
      </c>
      <c r="B23" s="32"/>
      <c r="C23" s="32"/>
      <c r="D23" s="32"/>
      <c r="E23" s="32"/>
      <c r="F23" s="32"/>
      <c r="G23" s="32"/>
      <c r="H23" s="32"/>
      <c r="I23" s="11" t="n">
        <f aca="false">IFERROR(INDEX(確率DB!$G$4:$G$27,MATCH(C23,確率DB!$B$4:$B$27,0)),0)</f>
        <v>0</v>
      </c>
      <c r="J23" s="11" t="n">
        <f aca="false">IFERROR(INDEX(確率DB!$G$4:$G$27,MATCH(D23,確率DB!$B$4:$B$27,0)),0)</f>
        <v>0</v>
      </c>
      <c r="K23" s="11" t="n">
        <f aca="false">IFERROR(INDEX(確率DB!$G$4:$G$27,MATCH(E23,確率DB!$B$4:$B$27,0)),0)</f>
        <v>0</v>
      </c>
      <c r="L23" s="11" t="n">
        <f aca="false">IFERROR(INDEX(確率DB!$G$4:$G$27,MATCH(F23,確率DB!$B$4:$B$27,0)),0)</f>
        <v>0</v>
      </c>
      <c r="M23" s="11" t="n">
        <f aca="false">IFERROR(INDEX(確率DB!$G$4:$G$27,MATCH(G23,確率DB!$B$4:$B$27,0)),0)</f>
        <v>0</v>
      </c>
      <c r="N23" s="11" t="n">
        <f aca="false">IFERROR(INDEX(確率DB!$G$4:$G$27,MATCH(H23,確率DB!$B$4:$B$27,0)),0)</f>
        <v>0</v>
      </c>
      <c r="O23" s="11" t="n">
        <f aca="false">MIN(1,SUM(I23:N23))</f>
        <v>0</v>
      </c>
      <c r="P23" s="34"/>
      <c r="Q23" s="35" t="n">
        <v>1</v>
      </c>
      <c r="R23" s="11" t="n">
        <f aca="false">IF($B23="",1,IF($Q23=0,1,IF($P23&lt;&gt;"",$P23,$O23)))</f>
        <v>1</v>
      </c>
      <c r="S23" s="11" t="n">
        <f aca="false">S22*R23</f>
        <v>0.0328027254795151</v>
      </c>
    </row>
    <row r="24" customFormat="false" ht="30" hidden="false" customHeight="true" outlineLevel="0" collapsed="false">
      <c r="A24" s="31" t="n">
        <v>6</v>
      </c>
      <c r="B24" s="32"/>
      <c r="C24" s="32"/>
      <c r="D24" s="32"/>
      <c r="E24" s="32"/>
      <c r="F24" s="32"/>
      <c r="G24" s="32"/>
      <c r="H24" s="32"/>
      <c r="I24" s="11" t="n">
        <f aca="false">IFERROR(INDEX(確率DB!$G$4:$G$27,MATCH(C24,確率DB!$B$4:$B$27,0)),0)</f>
        <v>0</v>
      </c>
      <c r="J24" s="11" t="n">
        <f aca="false">IFERROR(INDEX(確率DB!$G$4:$G$27,MATCH(D24,確率DB!$B$4:$B$27,0)),0)</f>
        <v>0</v>
      </c>
      <c r="K24" s="11" t="n">
        <f aca="false">IFERROR(INDEX(確率DB!$G$4:$G$27,MATCH(E24,確率DB!$B$4:$B$27,0)),0)</f>
        <v>0</v>
      </c>
      <c r="L24" s="11" t="n">
        <f aca="false">IFERROR(INDEX(確率DB!$G$4:$G$27,MATCH(F24,確率DB!$B$4:$B$27,0)),0)</f>
        <v>0</v>
      </c>
      <c r="M24" s="11" t="n">
        <f aca="false">IFERROR(INDEX(確率DB!$G$4:$G$27,MATCH(G24,確率DB!$B$4:$B$27,0)),0)</f>
        <v>0</v>
      </c>
      <c r="N24" s="11" t="n">
        <f aca="false">IFERROR(INDEX(確率DB!$G$4:$G$27,MATCH(H24,確率DB!$B$4:$B$27,0)),0)</f>
        <v>0</v>
      </c>
      <c r="O24" s="11" t="n">
        <f aca="false">MIN(1,SUM(I24:N24))</f>
        <v>0</v>
      </c>
      <c r="P24" s="34"/>
      <c r="Q24" s="35" t="n">
        <v>1</v>
      </c>
      <c r="R24" s="11" t="n">
        <f aca="false">IF($B24="",1,IF($Q24=0,1,IF($P24&lt;&gt;"",$P24,$O24)))</f>
        <v>1</v>
      </c>
      <c r="S24" s="11" t="n">
        <f aca="false">S23*R24</f>
        <v>0.0328027254795151</v>
      </c>
    </row>
    <row r="25" customFormat="false" ht="30" hidden="false" customHeight="true" outlineLevel="0" collapsed="false">
      <c r="A25" s="31" t="n">
        <v>7</v>
      </c>
      <c r="B25" s="32"/>
      <c r="C25" s="32"/>
      <c r="D25" s="32"/>
      <c r="E25" s="32"/>
      <c r="F25" s="32"/>
      <c r="G25" s="32"/>
      <c r="H25" s="32"/>
      <c r="I25" s="11" t="n">
        <f aca="false">IFERROR(INDEX(確率DB!$G$4:$G$27,MATCH(C25,確率DB!$B$4:$B$27,0)),0)</f>
        <v>0</v>
      </c>
      <c r="J25" s="11" t="n">
        <f aca="false">IFERROR(INDEX(確率DB!$G$4:$G$27,MATCH(D25,確率DB!$B$4:$B$27,0)),0)</f>
        <v>0</v>
      </c>
      <c r="K25" s="11" t="n">
        <f aca="false">IFERROR(INDEX(確率DB!$G$4:$G$27,MATCH(E25,確率DB!$B$4:$B$27,0)),0)</f>
        <v>0</v>
      </c>
      <c r="L25" s="11" t="n">
        <f aca="false">IFERROR(INDEX(確率DB!$G$4:$G$27,MATCH(F25,確率DB!$B$4:$B$27,0)),0)</f>
        <v>0</v>
      </c>
      <c r="M25" s="11" t="n">
        <f aca="false">IFERROR(INDEX(確率DB!$G$4:$G$27,MATCH(G25,確率DB!$B$4:$B$27,0)),0)</f>
        <v>0</v>
      </c>
      <c r="N25" s="11" t="n">
        <f aca="false">IFERROR(INDEX(確率DB!$G$4:$G$27,MATCH(H25,確率DB!$B$4:$B$27,0)),0)</f>
        <v>0</v>
      </c>
      <c r="O25" s="11" t="n">
        <f aca="false">MIN(1,SUM(I25:N25))</f>
        <v>0</v>
      </c>
      <c r="P25" s="34"/>
      <c r="Q25" s="35" t="n">
        <v>1</v>
      </c>
      <c r="R25" s="11" t="n">
        <f aca="false">IF($B25="",1,IF($Q25=0,1,IF($P25&lt;&gt;"",$P25,$O25)))</f>
        <v>1</v>
      </c>
      <c r="S25" s="11" t="n">
        <f aca="false">S24*R25</f>
        <v>0.0328027254795151</v>
      </c>
    </row>
    <row r="26" customFormat="false" ht="30" hidden="false" customHeight="true" outlineLevel="0" collapsed="false">
      <c r="A26" s="31" t="n">
        <v>8</v>
      </c>
      <c r="B26" s="32"/>
      <c r="C26" s="32"/>
      <c r="D26" s="32"/>
      <c r="E26" s="32"/>
      <c r="F26" s="32"/>
      <c r="G26" s="32"/>
      <c r="H26" s="32"/>
      <c r="I26" s="11" t="n">
        <f aca="false">IFERROR(INDEX(確率DB!$G$4:$G$27,MATCH(C26,確率DB!$B$4:$B$27,0)),0)</f>
        <v>0</v>
      </c>
      <c r="J26" s="11" t="n">
        <f aca="false">IFERROR(INDEX(確率DB!$G$4:$G$27,MATCH(D26,確率DB!$B$4:$B$27,0)),0)</f>
        <v>0</v>
      </c>
      <c r="K26" s="11" t="n">
        <f aca="false">IFERROR(INDEX(確率DB!$G$4:$G$27,MATCH(E26,確率DB!$B$4:$B$27,0)),0)</f>
        <v>0</v>
      </c>
      <c r="L26" s="11" t="n">
        <f aca="false">IFERROR(INDEX(確率DB!$G$4:$G$27,MATCH(F26,確率DB!$B$4:$B$27,0)),0)</f>
        <v>0</v>
      </c>
      <c r="M26" s="11" t="n">
        <f aca="false">IFERROR(INDEX(確率DB!$G$4:$G$27,MATCH(G26,確率DB!$B$4:$B$27,0)),0)</f>
        <v>0</v>
      </c>
      <c r="N26" s="11" t="n">
        <f aca="false">IFERROR(INDEX(確率DB!$G$4:$G$27,MATCH(H26,確率DB!$B$4:$B$27,0)),0)</f>
        <v>0</v>
      </c>
      <c r="O26" s="11" t="n">
        <f aca="false">MIN(1,SUM(I26:N26))</f>
        <v>0</v>
      </c>
      <c r="P26" s="34"/>
      <c r="Q26" s="35" t="n">
        <v>1</v>
      </c>
      <c r="R26" s="11" t="n">
        <f aca="false">IF($B26="",1,IF($Q26=0,1,IF($P26&lt;&gt;"",$P26,$O26)))</f>
        <v>1</v>
      </c>
      <c r="S26" s="11" t="n">
        <f aca="false">S25*R26</f>
        <v>0.0328027254795151</v>
      </c>
    </row>
    <row r="28" customFormat="false" ht="15" hidden="false" customHeight="false" outlineLevel="0" collapsed="false">
      <c r="B28" s="8" t="s">
        <v>164</v>
      </c>
    </row>
    <row r="29" customFormat="false" ht="15" hidden="false" customHeight="false" outlineLevel="0" collapsed="false">
      <c r="B29" s="29" t="s">
        <v>165</v>
      </c>
      <c r="C29" s="28" t="n">
        <f aca="false">S26</f>
        <v>0.0328027254795151</v>
      </c>
    </row>
    <row r="30" customFormat="false" ht="15" hidden="false" customHeight="false" outlineLevel="0" collapsed="false">
      <c r="B30" s="10" t="s">
        <v>166</v>
      </c>
      <c r="C30" s="11" t="n">
        <f aca="false">C29/$C$5</f>
        <v>3.74460336524145E-006</v>
      </c>
    </row>
    <row r="31" customFormat="false" ht="37.3" hidden="false" customHeight="false" outlineLevel="0" collapsed="false">
      <c r="B31" s="10" t="s">
        <v>167</v>
      </c>
      <c r="C31" s="36" t="str">
        <f aca="false">IF(C29&gt;=0.1,"E",IF(C29&gt;=0.01,"D",IF(C29&gt;=0.0001,"C",IF(C29&gt;=0.000001,"B","A"))))</f>
        <v>D</v>
      </c>
      <c r="D31" s="12" t="s">
        <v>168</v>
      </c>
    </row>
    <row r="32" customFormat="false" ht="15" hidden="false" customHeight="false" outlineLevel="0" collapsed="false">
      <c r="B32" s="10" t="s">
        <v>169</v>
      </c>
      <c r="C32" s="35" t="n">
        <v>2</v>
      </c>
    </row>
    <row r="33" customFormat="false" ht="15" hidden="false" customHeight="false" outlineLevel="0" collapsed="false">
      <c r="B33" s="10" t="s">
        <v>170</v>
      </c>
      <c r="C33" s="36" t="str">
        <f aca="false">INDEX(リスクマトリックス!$H$18:$K$22,MATCH(C31,リスクマトリックス!$G$18:$G$22,0),C32)</f>
        <v>赤</v>
      </c>
    </row>
    <row r="35" customFormat="false" ht="15" hidden="false" customHeight="false" outlineLevel="0" collapsed="false">
      <c r="B35" s="37" t="s">
        <v>171</v>
      </c>
    </row>
    <row r="36" customFormat="false" ht="37.3" hidden="false" customHeight="false" outlineLevel="0" collapsed="false">
      <c r="B36" s="10" t="s">
        <v>172</v>
      </c>
      <c r="C36" s="34"/>
      <c r="D36" s="12" t="s">
        <v>173</v>
      </c>
    </row>
    <row r="37" customFormat="false" ht="15" hidden="false" customHeight="false" outlineLevel="0" collapsed="false">
      <c r="B37" s="10" t="s">
        <v>174</v>
      </c>
      <c r="C37" s="38" t="str">
        <f aca="false">IF(C36="","",C36/C29)</f>
        <v/>
      </c>
    </row>
  </sheetData>
  <dataValidations count="1">
    <dataValidation allowBlank="true" errorStyle="stop" operator="between" showDropDown="false" showErrorMessage="false" showInputMessage="false" sqref="B9:B12 C19:H26" type="list">
      <formula1>DB_KEYS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6" min="5" style="0" width="14"/>
    <col collapsed="false" customWidth="true" hidden="false" outlineLevel="0" max="7" min="7" style="0" width="60"/>
  </cols>
  <sheetData>
    <row r="1" customFormat="false" ht="19.4" hidden="false" customHeight="false" outlineLevel="0" collapsed="false">
      <c r="B1" s="16" t="s">
        <v>175</v>
      </c>
    </row>
    <row r="2" customFormat="false" ht="15" hidden="false" customHeight="false" outlineLevel="0" collapsed="false">
      <c r="B2" s="37" t="s">
        <v>176</v>
      </c>
    </row>
    <row r="3" customFormat="false" ht="15" hidden="false" customHeight="false" outlineLevel="0" collapsed="false">
      <c r="C3" s="39" t="s">
        <v>177</v>
      </c>
    </row>
    <row r="4" customFormat="false" ht="15" hidden="false" customHeight="false" outlineLevel="0" collapsed="false">
      <c r="C4" s="39" t="s">
        <v>178</v>
      </c>
    </row>
    <row r="5" customFormat="false" ht="15" hidden="false" customHeight="false" outlineLevel="0" collapsed="false">
      <c r="C5" s="39" t="s">
        <v>179</v>
      </c>
    </row>
    <row r="6" customFormat="false" ht="15" hidden="false" customHeight="false" outlineLevel="0" collapsed="false">
      <c r="C6" s="39" t="s">
        <v>180</v>
      </c>
    </row>
    <row r="7" customFormat="false" ht="15" hidden="false" customHeight="false" outlineLevel="0" collapsed="false">
      <c r="C7" s="39" t="s">
        <v>181</v>
      </c>
    </row>
    <row r="8" customFormat="false" ht="15" hidden="false" customHeight="false" outlineLevel="0" collapsed="false">
      <c r="C8" s="39" t="s">
        <v>182</v>
      </c>
    </row>
    <row r="10" customFormat="false" ht="15" hidden="false" customHeight="false" outlineLevel="0" collapsed="false">
      <c r="B10" s="37" t="s">
        <v>183</v>
      </c>
    </row>
    <row r="11" customFormat="false" ht="15" hidden="false" customHeight="false" outlineLevel="0" collapsed="false">
      <c r="C11" s="40" t="s">
        <v>184</v>
      </c>
      <c r="D11" s="40" t="s">
        <v>185</v>
      </c>
      <c r="E11" s="40" t="s">
        <v>186</v>
      </c>
      <c r="F11" s="40" t="s">
        <v>187</v>
      </c>
      <c r="G11" s="40" t="s">
        <v>72</v>
      </c>
    </row>
    <row r="12" customFormat="false" ht="15" hidden="false" customHeight="false" outlineLevel="0" collapsed="false">
      <c r="C12" s="10" t="s">
        <v>188</v>
      </c>
      <c r="D12" s="5" t="s">
        <v>83</v>
      </c>
      <c r="E12" s="11" t="n">
        <f aca="false">IFERROR(INDEX(確率DB!$E$4:$E$27,MATCH(D12,確率DB!$B$4:$B$27,0)),0)</f>
        <v>0.00012</v>
      </c>
      <c r="F12" s="31" t="s">
        <v>189</v>
      </c>
      <c r="G12" s="41" t="s">
        <v>190</v>
      </c>
    </row>
    <row r="13" customFormat="false" ht="15" hidden="false" customHeight="false" outlineLevel="0" collapsed="false">
      <c r="C13" s="10" t="s">
        <v>188</v>
      </c>
      <c r="D13" s="4" t="s">
        <v>74</v>
      </c>
      <c r="E13" s="11" t="n">
        <f aca="false">IFERROR(INDEX(確率DB!$E$4:$E$27,MATCH(D13,確率DB!$B$4:$B$27,0)),0)</f>
        <v>5.28E-010</v>
      </c>
      <c r="F13" s="31" t="s">
        <v>189</v>
      </c>
      <c r="G13" s="41"/>
    </row>
    <row r="14" customFormat="false" ht="15" hidden="false" customHeight="false" outlineLevel="0" collapsed="false">
      <c r="C14" s="10" t="s">
        <v>188</v>
      </c>
      <c r="D14" s="5" t="s">
        <v>99</v>
      </c>
      <c r="E14" s="11" t="n">
        <f aca="false">IFERROR(INDEX(確率DB!$E$4:$E$27,MATCH(D14,確率DB!$B$4:$B$27,0)),0)</f>
        <v>3.6E-006</v>
      </c>
      <c r="F14" s="31" t="s">
        <v>189</v>
      </c>
      <c r="G14" s="41" t="s">
        <v>191</v>
      </c>
    </row>
    <row r="15" customFormat="false" ht="15" hidden="false" customHeight="false" outlineLevel="0" collapsed="false">
      <c r="C15" s="10" t="s">
        <v>192</v>
      </c>
      <c r="D15" s="5" t="s">
        <v>85</v>
      </c>
      <c r="E15" s="11" t="n">
        <f aca="false">IFERROR(INDEX(確率DB!$G$4:$G$27,MATCH(D15,確率DB!$B$4:$B$27,0)),0)</f>
        <v>0.0685</v>
      </c>
      <c r="F15" s="31" t="s">
        <v>193</v>
      </c>
      <c r="G15" s="41" t="s">
        <v>194</v>
      </c>
    </row>
    <row r="16" customFormat="false" ht="15" hidden="false" customHeight="false" outlineLevel="0" collapsed="false">
      <c r="C16" s="10" t="s">
        <v>192</v>
      </c>
      <c r="D16" s="4" t="s">
        <v>74</v>
      </c>
      <c r="E16" s="11" t="n">
        <f aca="false">IFERROR(INDEX(確率DB!$G$4:$G$27,MATCH(D16,確率DB!$B$4:$B$27,0)),0)</f>
        <v>1.94E-007</v>
      </c>
      <c r="F16" s="31" t="s">
        <v>193</v>
      </c>
      <c r="G16" s="41"/>
    </row>
    <row r="17" customFormat="false" ht="15" hidden="false" customHeight="false" outlineLevel="0" collapsed="false">
      <c r="C17" s="10" t="s">
        <v>192</v>
      </c>
      <c r="D17" s="5" t="s">
        <v>92</v>
      </c>
      <c r="E17" s="11" t="n">
        <f aca="false">IFERROR(INDEX(確率DB!$G$4:$G$27,MATCH(D17,確率DB!$B$4:$B$27,0)),0)</f>
        <v>9.3E-006</v>
      </c>
      <c r="F17" s="31" t="s">
        <v>193</v>
      </c>
      <c r="G17" s="41"/>
    </row>
    <row r="18" customFormat="false" ht="15" hidden="false" customHeight="false" outlineLevel="0" collapsed="false">
      <c r="C18" s="10" t="s">
        <v>192</v>
      </c>
      <c r="D18" s="5" t="s">
        <v>115</v>
      </c>
      <c r="E18" s="11" t="n">
        <f aca="false">IFERROR(INDEX(確率DB!$G$4:$G$27,MATCH(D18,確率DB!$B$4:$B$27,0)),0)</f>
        <v>0.0001</v>
      </c>
      <c r="F18" s="31" t="s">
        <v>193</v>
      </c>
      <c r="G18" s="41"/>
    </row>
    <row r="19" customFormat="false" ht="26.85" hidden="false" customHeight="false" outlineLevel="0" collapsed="false">
      <c r="C19" s="10" t="s">
        <v>192</v>
      </c>
      <c r="D19" s="5" t="s">
        <v>117</v>
      </c>
      <c r="E19" s="11" t="n">
        <f aca="false">IFERROR(INDEX(確率DB!$G$4:$G$27,MATCH(D19,確率DB!$B$4:$B$27,0)),0)</f>
        <v>0.3</v>
      </c>
      <c r="F19" s="31" t="s">
        <v>193</v>
      </c>
      <c r="G19" s="41"/>
    </row>
    <row r="20" customFormat="false" ht="15" hidden="false" customHeight="false" outlineLevel="0" collapsed="false">
      <c r="C20" s="10" t="s">
        <v>195</v>
      </c>
      <c r="D20" s="5" t="s">
        <v>87</v>
      </c>
      <c r="E20" s="11" t="n">
        <f aca="false">IFERROR(INDEX(確率DB!$G$4:$G$27,MATCH(D20,確率DB!$B$4:$B$27,0)),0)</f>
        <v>0.0793</v>
      </c>
      <c r="F20" s="31" t="s">
        <v>193</v>
      </c>
      <c r="G20" s="41" t="s">
        <v>196</v>
      </c>
    </row>
    <row r="21" customFormat="false" ht="15" hidden="false" customHeight="false" outlineLevel="0" collapsed="false">
      <c r="C21" s="10" t="s">
        <v>195</v>
      </c>
      <c r="D21" s="5" t="s">
        <v>95</v>
      </c>
      <c r="E21" s="11" t="n">
        <f aca="false">IFERROR(INDEX(確率DB!$G$4:$G$27,MATCH(D21,確率DB!$B$4:$B$27,0)),0)</f>
        <v>0.00069</v>
      </c>
      <c r="F21" s="31" t="s">
        <v>193</v>
      </c>
      <c r="G21" s="41" t="s">
        <v>197</v>
      </c>
    </row>
    <row r="22" customFormat="false" ht="15" hidden="false" customHeight="false" outlineLevel="0" collapsed="false">
      <c r="C22" s="10" t="s">
        <v>195</v>
      </c>
      <c r="D22" s="5" t="s">
        <v>99</v>
      </c>
      <c r="E22" s="11" t="n">
        <f aca="false">IFERROR(INDEX(確率DB!$G$4:$G$27,MATCH(D22,確率DB!$B$4:$B$27,0)),0)</f>
        <v>0.0022</v>
      </c>
      <c r="F22" s="31" t="s">
        <v>193</v>
      </c>
      <c r="G22" s="41" t="s">
        <v>198</v>
      </c>
    </row>
    <row r="24" customFormat="false" ht="15" hidden="false" customHeight="false" outlineLevel="0" collapsed="false">
      <c r="C24" s="29" t="s">
        <v>199</v>
      </c>
      <c r="E24" s="28" t="n">
        <f aca="false">SUM(E12:E14)*8760</f>
        <v>1.08274062528</v>
      </c>
      <c r="F24" s="31" t="s">
        <v>200</v>
      </c>
    </row>
    <row r="25" customFormat="false" ht="15" hidden="false" customHeight="false" outlineLevel="0" collapsed="false">
      <c r="C25" s="29" t="s">
        <v>201</v>
      </c>
      <c r="E25" s="28" t="n">
        <f aca="false">MIN(1,SUM(E15:E19))</f>
        <v>0.368609494</v>
      </c>
      <c r="F25" s="31" t="s">
        <v>193</v>
      </c>
    </row>
    <row r="26" customFormat="false" ht="15" hidden="false" customHeight="false" outlineLevel="0" collapsed="false">
      <c r="C26" s="29" t="s">
        <v>202</v>
      </c>
      <c r="E26" s="28" t="n">
        <f aca="false">MIN(1,SUM(E20:E22))</f>
        <v>0.08219</v>
      </c>
      <c r="F26" s="31" t="s">
        <v>193</v>
      </c>
    </row>
    <row r="27" customFormat="false" ht="15" hidden="false" customHeight="false" outlineLevel="0" collapsed="false">
      <c r="C27" s="29" t="s">
        <v>203</v>
      </c>
      <c r="E27" s="28" t="n">
        <f aca="false">E24*E25*E26</f>
        <v>0.0328027254795151</v>
      </c>
      <c r="F27" s="31" t="s">
        <v>200</v>
      </c>
    </row>
    <row r="28" customFormat="false" ht="15" hidden="false" customHeight="false" outlineLevel="0" collapsed="false">
      <c r="C28" s="10" t="s">
        <v>166</v>
      </c>
      <c r="E28" s="11" t="n">
        <f aca="false">E27/8760</f>
        <v>3.74460336524145E-006</v>
      </c>
      <c r="F28" s="31" t="s">
        <v>189</v>
      </c>
    </row>
    <row r="30" customFormat="false" ht="15" hidden="false" customHeight="false" outlineLevel="0" collapsed="false">
      <c r="B30" s="8" t="s">
        <v>204</v>
      </c>
    </row>
    <row r="31" customFormat="false" ht="15" hidden="false" customHeight="false" outlineLevel="0" collapsed="false">
      <c r="C31" s="13" t="s">
        <v>205</v>
      </c>
      <c r="E31" s="11" t="n">
        <v>5.24797E-006</v>
      </c>
      <c r="F31" s="31" t="s">
        <v>189</v>
      </c>
      <c r="G31" s="42" t="s">
        <v>206</v>
      </c>
    </row>
    <row r="32" customFormat="false" ht="30" hidden="false" customHeight="true" outlineLevel="0" collapsed="false">
      <c r="C32" s="10" t="s">
        <v>207</v>
      </c>
      <c r="E32" s="43" t="n">
        <f aca="false">E28/E31</f>
        <v>0.713533683546486</v>
      </c>
      <c r="G32" s="20" t="s">
        <v>208</v>
      </c>
    </row>
    <row r="34" customFormat="false" ht="15" hidden="false" customHeight="false" outlineLevel="0" collapsed="false">
      <c r="B34" s="37" t="s">
        <v>209</v>
      </c>
    </row>
    <row r="35" customFormat="false" ht="15" hidden="false" customHeight="false" outlineLevel="0" collapsed="false">
      <c r="C35" s="40" t="s">
        <v>210</v>
      </c>
      <c r="D35" s="40" t="s">
        <v>211</v>
      </c>
      <c r="E35" s="40" t="s">
        <v>212</v>
      </c>
      <c r="F35" s="40" t="s">
        <v>213</v>
      </c>
    </row>
    <row r="36" customFormat="false" ht="15" hidden="false" customHeight="false" outlineLevel="0" collapsed="false">
      <c r="C36" s="10" t="s">
        <v>214</v>
      </c>
      <c r="D36" s="10" t="s">
        <v>215</v>
      </c>
      <c r="E36" s="11" t="n">
        <f aca="false">E24*E25*E26</f>
        <v>0.0328027254795151</v>
      </c>
      <c r="F36" s="44" t="n">
        <v>1</v>
      </c>
    </row>
    <row r="37" customFormat="false" ht="15" hidden="false" customHeight="false" outlineLevel="0" collapsed="false">
      <c r="C37" s="10" t="s">
        <v>216</v>
      </c>
      <c r="D37" s="13" t="s">
        <v>217</v>
      </c>
      <c r="E37" s="11" t="n">
        <f aca="false">E24*E25</f>
        <v>0.399108474017704</v>
      </c>
      <c r="F37" s="44" t="n">
        <f aca="false">E37/E36</f>
        <v>12.1669302834895</v>
      </c>
    </row>
    <row r="38" customFormat="false" ht="26.85" hidden="false" customHeight="false" outlineLevel="0" collapsed="false">
      <c r="C38" s="10" t="s">
        <v>218</v>
      </c>
      <c r="D38" s="5" t="s">
        <v>219</v>
      </c>
      <c r="E38" s="11" t="n">
        <f aca="false">E24*E25*E26*E26</f>
        <v>0.00269605600716135</v>
      </c>
      <c r="F38" s="14" t="n">
        <f aca="false">E38/E36</f>
        <v>0.08219</v>
      </c>
    </row>
    <row r="40" customFormat="false" ht="30" hidden="false" customHeight="true" outlineLevel="0" collapsed="false">
      <c r="C40" s="12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46"/>
    <col collapsed="false" customWidth="true" hidden="false" outlineLevel="0" max="6" min="5" style="0" width="3"/>
    <col collapsed="false" customWidth="true" hidden="false" outlineLevel="0" max="7" min="7" style="0" width="10"/>
    <col collapsed="false" customWidth="true" hidden="false" outlineLevel="0" max="11" min="8" style="0" width="16"/>
  </cols>
  <sheetData>
    <row r="1" customFormat="false" ht="17.35" hidden="false" customHeight="false" outlineLevel="0" collapsed="false">
      <c r="B1" s="16" t="s">
        <v>221</v>
      </c>
    </row>
    <row r="2" customFormat="false" ht="102.95" hidden="false" customHeight="false" outlineLevel="0" collapsed="false">
      <c r="B2" s="45" t="s">
        <v>222</v>
      </c>
    </row>
    <row r="4" customFormat="false" ht="15" hidden="false" customHeight="false" outlineLevel="0" collapsed="false">
      <c r="B4" s="37" t="s">
        <v>223</v>
      </c>
    </row>
    <row r="5" customFormat="false" ht="15" hidden="false" customHeight="false" outlineLevel="0" collapsed="false">
      <c r="B5" s="36" t="s">
        <v>224</v>
      </c>
      <c r="C5" s="13" t="s">
        <v>225</v>
      </c>
      <c r="D5" s="10" t="s">
        <v>226</v>
      </c>
    </row>
    <row r="6" customFormat="false" ht="15" hidden="false" customHeight="false" outlineLevel="0" collapsed="false">
      <c r="B6" s="36" t="s">
        <v>227</v>
      </c>
      <c r="C6" s="13" t="s">
        <v>228</v>
      </c>
      <c r="D6" s="10" t="s">
        <v>229</v>
      </c>
    </row>
    <row r="7" customFormat="false" ht="15" hidden="false" customHeight="false" outlineLevel="0" collapsed="false">
      <c r="B7" s="36" t="s">
        <v>230</v>
      </c>
      <c r="C7" s="13" t="s">
        <v>231</v>
      </c>
      <c r="D7" s="10" t="s">
        <v>232</v>
      </c>
    </row>
    <row r="8" customFormat="false" ht="15" hidden="false" customHeight="false" outlineLevel="0" collapsed="false">
      <c r="B8" s="36" t="s">
        <v>233</v>
      </c>
      <c r="C8" s="13" t="s">
        <v>234</v>
      </c>
      <c r="D8" s="10" t="s">
        <v>235</v>
      </c>
    </row>
    <row r="9" customFormat="false" ht="15" hidden="false" customHeight="false" outlineLevel="0" collapsed="false">
      <c r="B9" s="36" t="s">
        <v>236</v>
      </c>
      <c r="C9" s="13" t="s">
        <v>237</v>
      </c>
      <c r="D9" s="10" t="s">
        <v>238</v>
      </c>
    </row>
    <row r="12" customFormat="false" ht="15" hidden="false" customHeight="false" outlineLevel="0" collapsed="false">
      <c r="B12" s="37" t="s">
        <v>239</v>
      </c>
    </row>
    <row r="13" customFormat="false" ht="15" hidden="false" customHeight="false" outlineLevel="0" collapsed="false">
      <c r="B13" s="36" t="s">
        <v>240</v>
      </c>
      <c r="C13" s="10" t="s">
        <v>241</v>
      </c>
      <c r="D13" s="10" t="s">
        <v>242</v>
      </c>
    </row>
    <row r="14" customFormat="false" ht="15" hidden="false" customHeight="false" outlineLevel="0" collapsed="false">
      <c r="B14" s="36" t="s">
        <v>243</v>
      </c>
      <c r="C14" s="10" t="s">
        <v>244</v>
      </c>
      <c r="D14" s="10" t="s">
        <v>245</v>
      </c>
    </row>
    <row r="15" customFormat="false" ht="15" hidden="false" customHeight="false" outlineLevel="0" collapsed="false">
      <c r="B15" s="36" t="s">
        <v>246</v>
      </c>
      <c r="C15" s="10" t="s">
        <v>247</v>
      </c>
      <c r="D15" s="10" t="s">
        <v>248</v>
      </c>
    </row>
    <row r="16" customFormat="false" ht="15" hidden="false" customHeight="false" outlineLevel="0" collapsed="false">
      <c r="B16" s="36" t="s">
        <v>249</v>
      </c>
      <c r="C16" s="10" t="s">
        <v>250</v>
      </c>
      <c r="D16" s="10" t="s">
        <v>251</v>
      </c>
      <c r="G16" s="37" t="s">
        <v>252</v>
      </c>
    </row>
    <row r="17" customFormat="false" ht="15" hidden="false" customHeight="false" outlineLevel="0" collapsed="false">
      <c r="G17" s="40" t="s">
        <v>253</v>
      </c>
      <c r="H17" s="40" t="s">
        <v>254</v>
      </c>
      <c r="I17" s="40" t="s">
        <v>255</v>
      </c>
      <c r="J17" s="40" t="s">
        <v>256</v>
      </c>
      <c r="K17" s="40" t="s">
        <v>257</v>
      </c>
    </row>
    <row r="18" customFormat="false" ht="15" hidden="false" customHeight="false" outlineLevel="0" collapsed="false">
      <c r="G18" s="36" t="s">
        <v>224</v>
      </c>
      <c r="H18" s="46" t="s">
        <v>258</v>
      </c>
      <c r="I18" s="46" t="s">
        <v>258</v>
      </c>
      <c r="J18" s="47" t="s">
        <v>259</v>
      </c>
      <c r="K18" s="47" t="s">
        <v>259</v>
      </c>
    </row>
    <row r="19" customFormat="false" ht="15" hidden="false" customHeight="false" outlineLevel="0" collapsed="false">
      <c r="G19" s="36" t="s">
        <v>227</v>
      </c>
      <c r="H19" s="46" t="s">
        <v>258</v>
      </c>
      <c r="I19" s="46" t="s">
        <v>258</v>
      </c>
      <c r="J19" s="47" t="s">
        <v>259</v>
      </c>
      <c r="K19" s="48" t="s">
        <v>260</v>
      </c>
    </row>
    <row r="20" customFormat="false" ht="15" hidden="false" customHeight="false" outlineLevel="0" collapsed="false">
      <c r="G20" s="36" t="s">
        <v>230</v>
      </c>
      <c r="H20" s="46" t="s">
        <v>258</v>
      </c>
      <c r="I20" s="47" t="s">
        <v>259</v>
      </c>
      <c r="J20" s="48" t="s">
        <v>260</v>
      </c>
      <c r="K20" s="48" t="s">
        <v>260</v>
      </c>
    </row>
    <row r="21" customFormat="false" ht="15" hidden="false" customHeight="false" outlineLevel="0" collapsed="false">
      <c r="G21" s="36" t="s">
        <v>233</v>
      </c>
      <c r="H21" s="47" t="s">
        <v>259</v>
      </c>
      <c r="I21" s="48" t="s">
        <v>260</v>
      </c>
      <c r="J21" s="48" t="s">
        <v>260</v>
      </c>
      <c r="K21" s="48" t="s">
        <v>260</v>
      </c>
    </row>
    <row r="22" customFormat="false" ht="15" hidden="false" customHeight="false" outlineLevel="0" collapsed="false">
      <c r="G22" s="36" t="s">
        <v>236</v>
      </c>
      <c r="H22" s="48" t="s">
        <v>260</v>
      </c>
      <c r="I22" s="48" t="s">
        <v>260</v>
      </c>
      <c r="J22" s="48" t="s">
        <v>260</v>
      </c>
      <c r="K22" s="48" t="s">
        <v>260</v>
      </c>
    </row>
    <row r="24" customFormat="false" ht="15" hidden="false" customHeight="false" outlineLevel="0" collapsed="false">
      <c r="G24" s="2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2026-07-21T08:58:49Z</dcterms:created>
  <dc:creator>openpyxl</dc:creator>
  <dc:description/>
  <dc:language>en-US</dc:language>
  <cp:lastModifiedBy/>
  <dcterms:modified xsi:type="dcterms:W3CDTF">2026-07-21T08:58:49Z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