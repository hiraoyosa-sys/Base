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読み方" sheetId="1" state="visible" r:id="rId3"/>
    <sheet name="計算原理" sheetId="2" state="visible" r:id="rId4"/>
    <sheet name="確率DB" sheetId="3" state="visible" r:id="rId5"/>
    <sheet name="シナリオ計算" sheetId="4" state="visible" r:id="rId6"/>
    <sheet name="例題_V1204" sheetId="5" state="visible" r:id="rId7"/>
    <sheet name="リスクマトリックス" sheetId="6" state="visible" r:id="rId8"/>
  </sheets>
  <definedNames>
    <definedName function="false" hidden="false" name="DB_KEYS" vbProcedure="false">確率DB!$B$4:$B$27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<sst xmlns="http://schemas.openxmlformats.org/spreadsheetml/2006/main" count="411" uniqueCount="288">
  <si>
    <r>
      <rPr>
        <b val="true"/>
        <sz val="14"/>
        <rFont val="Yu Gothic"/>
        <family val="0"/>
        <charset val="1"/>
      </rPr>
      <t xml:space="preserve">HAZchart </t>
    </r>
    <r>
      <rPr>
        <b val="true"/>
        <sz val="14"/>
        <rFont val="WenQuanYi Zen Hei"/>
        <family val="2"/>
      </rPr>
      <t xml:space="preserve">簡易評価ワークブック（計算原理＋確率</t>
    </r>
    <r>
      <rPr>
        <b val="true"/>
        <sz val="14"/>
        <rFont val="Yu Gothic"/>
        <family val="0"/>
        <charset val="1"/>
      </rPr>
      <t xml:space="preserve">DB</t>
    </r>
    <r>
      <rPr>
        <b val="true"/>
        <sz val="14"/>
        <rFont val="WenQuanYi Zen Hei"/>
        <family val="2"/>
      </rPr>
      <t xml:space="preserve">＋シナリオシミュレーション）</t>
    </r>
  </si>
  <si>
    <r>
      <rPr>
        <sz val="9"/>
        <color rgb="FF595959"/>
        <rFont val="WenQuanYi Zen Hei"/>
        <family val="2"/>
      </rPr>
      <t xml:space="preserve">作成 </t>
    </r>
    <r>
      <rPr>
        <sz val="9"/>
        <color rgb="FF595959"/>
        <rFont val="Yu Gothic"/>
        <family val="0"/>
        <charset val="1"/>
      </rPr>
      <t xml:space="preserve">2026-07-21</t>
    </r>
    <r>
      <rPr>
        <sz val="9"/>
        <color rgb="FF595959"/>
        <rFont val="WenQuanYi Zen Hei"/>
        <family val="2"/>
      </rPr>
      <t xml:space="preserve">（同日</t>
    </r>
    <r>
      <rPr>
        <sz val="9"/>
        <color rgb="FF595959"/>
        <rFont val="Yu Gothic"/>
        <family val="0"/>
        <charset val="1"/>
      </rPr>
      <t xml:space="preserve">rev2</t>
    </r>
    <r>
      <rPr>
        <sz val="9"/>
        <color rgb="FF595959"/>
        <rFont val="WenQuanYi Zen Hei"/>
        <family val="2"/>
      </rPr>
      <t xml:space="preserve">）。確率</t>
    </r>
    <r>
      <rPr>
        <sz val="9"/>
        <color rgb="FF595959"/>
        <rFont val="Yu Gothic"/>
        <family val="0"/>
        <charset val="1"/>
      </rPr>
      <t xml:space="preserve">DB</t>
    </r>
    <r>
      <rPr>
        <sz val="9"/>
        <color rgb="FF595959"/>
        <rFont val="WenQuanYi Zen Hei"/>
        <family val="2"/>
      </rPr>
      <t xml:space="preserve">の出典</t>
    </r>
    <r>
      <rPr>
        <sz val="9"/>
        <color rgb="FF595959"/>
        <rFont val="Yu Gothic"/>
        <family val="0"/>
        <charset val="1"/>
      </rPr>
      <t xml:space="preserve">: project.pha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Yu Gothic"/>
        <family val="0"/>
        <charset val="1"/>
      </rPr>
      <t xml:space="preserve">PHA_Organizer 3.1.1</t>
    </r>
    <r>
      <rPr>
        <sz val="9"/>
        <color rgb="FF595959"/>
        <rFont val="WenQuanYi Zen Hei"/>
        <family val="2"/>
      </rPr>
      <t xml:space="preserve">）設定値を抽出 </t>
    </r>
    <r>
      <rPr>
        <sz val="9"/>
        <color rgb="FF595959"/>
        <rFont val="Yu Gothic"/>
        <family val="0"/>
        <charset val="1"/>
      </rPr>
      <t xml:space="preserve">2026-07-21</t>
    </r>
  </si>
  <si>
    <t xml:space="preserve">目的</t>
  </si>
  <si>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を使わずに、</t>
    </r>
    <r>
      <rPr>
        <sz val="10"/>
        <rFont val="Yu Gothic"/>
        <family val="0"/>
        <charset val="1"/>
      </rPr>
      <t xml:space="preserve">HAZchart</t>
    </r>
    <r>
      <rPr>
        <sz val="10"/>
        <rFont val="WenQuanYi Zen Hei"/>
        <family val="2"/>
      </rPr>
      <t xml:space="preserve">の確率計算の仕組みを理解し、シナリオを組んだときの事故頻度と安全対策（防護層の追加・削除）の効果を</t>
    </r>
    <r>
      <rPr>
        <sz val="10"/>
        <rFont val="Yu Gothic"/>
        <family val="0"/>
        <charset val="1"/>
      </rPr>
      <t xml:space="preserve">Excel</t>
    </r>
    <r>
      <rPr>
        <sz val="10"/>
        <rFont val="WenQuanYi Zen Hei"/>
        <family val="2"/>
      </rPr>
      <t xml:space="preserve">上で素早く定量評価する。</t>
    </r>
  </si>
  <si>
    <t xml:space="preserve">位置づけ</t>
  </si>
  <si>
    <r>
      <rPr>
        <sz val="10"/>
        <rFont val="WenQuanYi Zen Hei"/>
        <family val="2"/>
      </rPr>
      <t xml:space="preserve">簡易評価用（オーダー確認・感度検討）。正式なリスク評価は</t>
    </r>
    <r>
      <rPr>
        <sz val="10"/>
        <rFont val="Yu Gothic"/>
        <family val="0"/>
        <charset val="1"/>
      </rPr>
      <t xml:space="preserve">HAZchart</t>
    </r>
    <r>
      <rPr>
        <sz val="10"/>
        <rFont val="WenQuanYi Zen Hei"/>
        <family val="2"/>
      </rPr>
      <t xml:space="preserve">解析基準（</t>
    </r>
    <r>
      <rPr>
        <sz val="10"/>
        <rFont val="Yu Gothic"/>
        <family val="0"/>
        <charset val="1"/>
      </rPr>
      <t xml:space="preserve">C-2-3</t>
    </r>
    <r>
      <rPr>
        <sz val="10"/>
        <rFont val="WenQuanYi Zen Hei"/>
        <family val="2"/>
      </rPr>
      <t xml:space="preserve">）に基づき</t>
    </r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で実施する。本ブックの結果はその代替にはならない。</t>
    </r>
  </si>
  <si>
    <t xml:space="preserve">計算方式</t>
  </si>
  <si>
    <r>
      <rPr>
        <sz val="10"/>
        <rFont val="WenQuanYi Zen Hei"/>
        <family val="2"/>
      </rPr>
      <t xml:space="preserve">掛け算・足し算の体系は</t>
    </r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のカットセット計算（事象の組合せごとに積、組合せ間は和）と同じ。違いが出るのは「経路の網羅」だけで、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本の経路なら</t>
    </r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と同じ数字になる。分岐が多いシナリオは、経路ごとに計算して合計する（例題シート参照）。</t>
    </r>
  </si>
  <si>
    <t xml:space="preserve">シート構成</t>
  </si>
  <si>
    <r>
      <rPr>
        <sz val="10"/>
        <rFont val="WenQuanYi Zen Hei"/>
        <family val="2"/>
      </rPr>
      <t xml:space="preserve">「計算原理」…計算の仕組みと</t>
    </r>
    <r>
      <rPr>
        <sz val="10"/>
        <rFont val="Yu Gothic"/>
        <family val="0"/>
        <charset val="1"/>
      </rPr>
      <t xml:space="preserve">AND/OR</t>
    </r>
    <r>
      <rPr>
        <sz val="10"/>
        <rFont val="WenQuanYi Zen Hei"/>
        <family val="2"/>
      </rPr>
      <t xml:space="preserve">の使い分け。 「確率</t>
    </r>
    <r>
      <rPr>
        <sz val="10"/>
        <rFont val="Yu Gothic"/>
        <family val="0"/>
        <charset val="1"/>
      </rPr>
      <t xml:space="preserve">DB</t>
    </r>
    <r>
      <rPr>
        <sz val="10"/>
        <rFont val="WenQuanYi Zen Hei"/>
        <family val="2"/>
      </rPr>
      <t xml:space="preserve">」…既存テンプレートの故障率・デマンド確率の一覧。 「シナリオ計算」…シナリオを組んで頻度を計算するシミュレーター。 「例題</t>
    </r>
    <r>
      <rPr>
        <sz val="10"/>
        <rFont val="Yu Gothic"/>
        <family val="0"/>
        <charset val="1"/>
      </rPr>
      <t xml:space="preserve">_V1204</t>
    </r>
    <r>
      <rPr>
        <sz val="10"/>
        <rFont val="WenQuanYi Zen Hei"/>
        <family val="2"/>
      </rPr>
      <t xml:space="preserve">」…アップロードされたプロジェクトの再現例と検算。 「リスクマトリックス」…判定のしきい値（入力して確定させる）。</t>
    </r>
  </si>
  <si>
    <r>
      <rPr>
        <b val="true"/>
        <sz val="10"/>
        <rFont val="WenQuanYi Zen Hei"/>
        <family val="2"/>
      </rPr>
      <t xml:space="preserve">使い方</t>
    </r>
    <r>
      <rPr>
        <b val="true"/>
        <sz val="10"/>
        <rFont val="Yu Gothic"/>
        <family val="0"/>
        <charset val="1"/>
      </rPr>
      <t xml:space="preserve">(1)</t>
    </r>
  </si>
  <si>
    <r>
      <rPr>
        <sz val="10"/>
        <rFont val="WenQuanYi Zen Hei"/>
        <family val="2"/>
      </rPr>
      <t xml:space="preserve">「シナリオ計算」で起因事象の構成要素をドロップダウンから選ぶ。この中は</t>
    </r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（どれか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つ壊れれば起因事象）なので</t>
    </r>
    <r>
      <rPr>
        <sz val="10"/>
        <rFont val="Yu Gothic"/>
        <family val="0"/>
        <charset val="1"/>
      </rPr>
      <t xml:space="preserve">λ</t>
    </r>
    <r>
      <rPr>
        <sz val="10"/>
        <rFont val="WenQuanYi Zen Hei"/>
        <family val="2"/>
      </rPr>
      <t xml:space="preserve">は足し算。</t>
    </r>
  </si>
  <si>
    <r>
      <rPr>
        <b val="true"/>
        <sz val="10"/>
        <rFont val="WenQuanYi Zen Hei"/>
        <family val="2"/>
      </rPr>
      <t xml:space="preserve">使い方</t>
    </r>
    <r>
      <rPr>
        <b val="true"/>
        <sz val="10"/>
        <rFont val="Yu Gothic"/>
        <family val="0"/>
        <charset val="1"/>
      </rPr>
      <t xml:space="preserve">(2)</t>
    </r>
  </si>
  <si>
    <r>
      <rPr>
        <sz val="10"/>
        <rFont val="WenQuanYi Zen Hei"/>
        <family val="2"/>
      </rPr>
      <t xml:space="preserve">防護層を上から通過する順に並べ、各層の構成要素とゲートを選ぶ。</t>
    </r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（既定）＝構成要素のどれか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つの失敗でその層は破られる（</t>
    </r>
    <r>
      <rPr>
        <sz val="10"/>
        <rFont val="Yu Gothic"/>
        <family val="0"/>
        <charset val="1"/>
      </rPr>
      <t xml:space="preserve">PFD</t>
    </r>
    <r>
      <rPr>
        <sz val="10"/>
        <rFont val="WenQuanYi Zen Hei"/>
        <family val="2"/>
      </rPr>
      <t xml:space="preserve">は和）。</t>
    </r>
    <r>
      <rPr>
        <sz val="10"/>
        <rFont val="Yu Gothic"/>
        <family val="0"/>
        <charset val="1"/>
      </rPr>
      <t xml:space="preserve">AND</t>
    </r>
    <r>
      <rPr>
        <sz val="10"/>
        <rFont val="WenQuanYi Zen Hei"/>
        <family val="2"/>
      </rPr>
      <t xml:space="preserve">＝全部失敗して初めて破られる（冗長化した検出器など。</t>
    </r>
    <r>
      <rPr>
        <sz val="10"/>
        <rFont val="Yu Gothic"/>
        <family val="0"/>
        <charset val="1"/>
      </rPr>
      <t xml:space="preserve">PFD</t>
    </r>
    <r>
      <rPr>
        <sz val="10"/>
        <rFont val="WenQuanYi Zen Hei"/>
        <family val="2"/>
      </rPr>
      <t xml:space="preserve">は積）。</t>
    </r>
  </si>
  <si>
    <r>
      <rPr>
        <b val="true"/>
        <sz val="10"/>
        <rFont val="WenQuanYi Zen Hei"/>
        <family val="2"/>
      </rPr>
      <t xml:space="preserve">使い方</t>
    </r>
    <r>
      <rPr>
        <b val="true"/>
        <sz val="10"/>
        <rFont val="Yu Gothic"/>
        <family val="0"/>
        <charset val="1"/>
      </rPr>
      <t xml:space="preserve">(3)</t>
    </r>
  </si>
  <si>
    <r>
      <rPr>
        <sz val="10"/>
        <rFont val="WenQuanYi Zen Hei"/>
        <family val="2"/>
      </rPr>
      <t xml:space="preserve">「有効」列を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から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に切り替えるとその層なしの頻度が即座に分かる。「低減倍率」列でどの層がどれだけ効いているかが見える。判定ベース（</t>
    </r>
    <r>
      <rPr>
        <sz val="10"/>
        <rFont val="Yu Gothic"/>
        <family val="0"/>
        <charset val="1"/>
      </rPr>
      <t xml:space="preserve">/hr</t>
    </r>
    <r>
      <rPr>
        <sz val="10"/>
        <rFont val="WenQuanYi Zen Hei"/>
        <family val="2"/>
      </rPr>
      <t xml:space="preserve">・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年）は切替可能。</t>
    </r>
  </si>
  <si>
    <t xml:space="preserve">凡例</t>
  </si>
  <si>
    <t xml:space="preserve">黄色塗り＝触って試すセル（青字）。 白地の黒字＝自動計算（触らない）。 灰色＝見出し。</t>
  </si>
  <si>
    <t xml:space="preserve">注意（重要）</t>
  </si>
  <si>
    <r>
      <rPr>
        <sz val="10"/>
        <rFont val="WenQuanYi Zen Hei"/>
        <family val="2"/>
      </rPr>
      <t xml:space="preserve">・同じ要素（例</t>
    </r>
    <r>
      <rPr>
        <sz val="10"/>
        <rFont val="Yu Gothic"/>
        <family val="0"/>
        <charset val="1"/>
      </rPr>
      <t xml:space="preserve">: DCS</t>
    </r>
    <r>
      <rPr>
        <sz val="10"/>
        <rFont val="WenQuanYi Zen Hei"/>
        <family val="2"/>
      </rPr>
      <t xml:space="preserve">、同一の検出器）が複数の層に入る場合、単純な掛け算は頻度を過小評価する（コモン事象）。同一要素は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つの層にだけ入れること。厳密な扱いは</t>
    </r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のミニマルカットセット計算で行う。</t>
    </r>
  </si>
  <si>
    <r>
      <rPr>
        <sz val="10"/>
        <rFont val="WenQuanYi Zen Hei"/>
        <family val="2"/>
      </rPr>
      <t xml:space="preserve">・構成要素はドロップダウンから選ぶこと。手入力でキーが一致しないと</t>
    </r>
    <r>
      <rPr>
        <sz val="10"/>
        <rFont val="Yu Gothic"/>
        <family val="0"/>
        <charset val="1"/>
      </rPr>
      <t xml:space="preserve">0</t>
    </r>
    <r>
      <rPr>
        <sz val="10"/>
        <rFont val="WenQuanYi Zen Hei"/>
        <family val="2"/>
      </rPr>
      <t xml:space="preserve">（その要素なし）扱いになる。</t>
    </r>
  </si>
  <si>
    <r>
      <rPr>
        <sz val="10"/>
        <rFont val="WenQuanYi Zen Hei"/>
        <family val="2"/>
      </rPr>
      <t xml:space="preserve">・リスクマトリックスの頻度しきい値・ゾーン割付は仮置き。</t>
    </r>
    <r>
      <rPr>
        <sz val="10"/>
        <rFont val="Yu Gothic"/>
        <family val="0"/>
        <charset val="1"/>
      </rPr>
      <t xml:space="preserve">C-2-3</t>
    </r>
    <r>
      <rPr>
        <sz val="10"/>
        <rFont val="WenQuanYi Zen Hei"/>
        <family val="2"/>
      </rPr>
      <t xml:space="preserve">の正式な表の値を黄色セルに入れて確定させること（要確認）。</t>
    </r>
  </si>
  <si>
    <r>
      <rPr>
        <b val="true"/>
        <sz val="14"/>
        <rFont val="Yu Gothic"/>
        <family val="0"/>
        <charset val="1"/>
      </rPr>
      <t xml:space="preserve">HAZchart</t>
    </r>
    <r>
      <rPr>
        <b val="true"/>
        <sz val="14"/>
        <rFont val="WenQuanYi Zen Hei"/>
        <family val="2"/>
      </rPr>
      <t xml:space="preserve">の確率計算の原理</t>
    </r>
  </si>
  <si>
    <r>
      <rPr>
        <b val="true"/>
        <sz val="11"/>
        <rFont val="Yu Gothic"/>
        <family val="0"/>
        <charset val="1"/>
      </rPr>
      <t xml:space="preserve">1. </t>
    </r>
    <r>
      <rPr>
        <b val="true"/>
        <sz val="11"/>
        <rFont val="WenQuanYi Zen Hei"/>
        <family val="2"/>
      </rPr>
      <t xml:space="preserve">解析の</t>
    </r>
    <r>
      <rPr>
        <b val="true"/>
        <sz val="11"/>
        <rFont val="Yu Gothic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ステップ</t>
    </r>
  </si>
  <si>
    <r>
      <rPr>
        <b val="true"/>
        <sz val="10"/>
        <rFont val="WenQuanYi Zen Hei"/>
        <family val="2"/>
      </rPr>
      <t xml:space="preserve">ステップ</t>
    </r>
    <r>
      <rPr>
        <b val="true"/>
        <sz val="10"/>
        <rFont val="Yu Gothic"/>
        <family val="0"/>
        <charset val="1"/>
      </rPr>
      <t xml:space="preserve">1</t>
    </r>
  </si>
  <si>
    <r>
      <rPr>
        <sz val="10"/>
        <rFont val="Yu Gothic"/>
        <family val="0"/>
        <charset val="1"/>
      </rPr>
      <t xml:space="preserve">What-if</t>
    </r>
    <r>
      <rPr>
        <sz val="10"/>
        <rFont val="WenQuanYi Zen Hei"/>
        <family val="2"/>
      </rPr>
      <t xml:space="preserve">で事故シナリオを作る（起因事象＝機器の故障モード。防護層は無いものとして展開）</t>
    </r>
  </si>
  <si>
    <r>
      <rPr>
        <b val="true"/>
        <sz val="10"/>
        <rFont val="WenQuanYi Zen Hei"/>
        <family val="2"/>
      </rPr>
      <t xml:space="preserve">ステップ</t>
    </r>
    <r>
      <rPr>
        <b val="true"/>
        <sz val="10"/>
        <rFont val="Yu Gothic"/>
        <family val="0"/>
        <charset val="1"/>
      </rPr>
      <t xml:space="preserve">2</t>
    </r>
  </si>
  <si>
    <r>
      <rPr>
        <sz val="10"/>
        <rFont val="Yu Gothic"/>
        <family val="0"/>
        <charset val="1"/>
      </rPr>
      <t xml:space="preserve">HAZchart</t>
    </r>
    <r>
      <rPr>
        <sz val="10"/>
        <rFont val="WenQuanYi Zen Hei"/>
        <family val="2"/>
      </rPr>
      <t xml:space="preserve">を描く（状態変化の認知手段、回復動作、失敗したときの次の状態、を繰り返す）</t>
    </r>
  </si>
  <si>
    <r>
      <rPr>
        <b val="true"/>
        <sz val="10"/>
        <rFont val="WenQuanYi Zen Hei"/>
        <family val="2"/>
      </rPr>
      <t xml:space="preserve">ステップ</t>
    </r>
    <r>
      <rPr>
        <b val="true"/>
        <sz val="10"/>
        <rFont val="Yu Gothic"/>
        <family val="0"/>
        <charset val="1"/>
      </rPr>
      <t xml:space="preserve">3</t>
    </r>
  </si>
  <si>
    <r>
      <rPr>
        <sz val="10"/>
        <rFont val="Yu Gothic"/>
        <family val="0"/>
        <charset val="1"/>
      </rPr>
      <t xml:space="preserve">FT</t>
    </r>
    <r>
      <rPr>
        <sz val="10"/>
        <rFont val="WenQuanYi Zen Hei"/>
        <family val="2"/>
      </rPr>
      <t xml:space="preserve">（フォールトツリー）に変換する（最終事象を頂上に置き、状態変化と防護失敗を</t>
    </r>
    <r>
      <rPr>
        <sz val="10"/>
        <rFont val="Yu Gothic"/>
        <family val="0"/>
        <charset val="1"/>
      </rPr>
      <t xml:space="preserve">AND</t>
    </r>
    <r>
      <rPr>
        <sz val="10"/>
        <rFont val="WenQuanYi Zen Hei"/>
        <family val="2"/>
      </rPr>
      <t xml:space="preserve">で結ぶ）</t>
    </r>
  </si>
  <si>
    <r>
      <rPr>
        <b val="true"/>
        <sz val="10"/>
        <rFont val="WenQuanYi Zen Hei"/>
        <family val="2"/>
      </rPr>
      <t xml:space="preserve">ステップ</t>
    </r>
    <r>
      <rPr>
        <b val="true"/>
        <sz val="10"/>
        <rFont val="Yu Gothic"/>
        <family val="0"/>
        <charset val="1"/>
      </rPr>
      <t xml:space="preserve">4</t>
    </r>
  </si>
  <si>
    <t xml:space="preserve">故障率・ヒューマンエラー確率を入れて最終事象の発生頻度を計算し、リスクマトリックスで評価する</t>
  </si>
  <si>
    <r>
      <rPr>
        <b val="true"/>
        <sz val="11"/>
        <rFont val="Yu Gothic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確率は</t>
    </r>
    <r>
      <rPr>
        <b val="true"/>
        <sz val="11"/>
        <rFont val="Yu Gothic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種類ある</t>
    </r>
  </si>
  <si>
    <r>
      <rPr>
        <b val="true"/>
        <sz val="10"/>
        <rFont val="WenQuanYi Zen Hei"/>
        <family val="2"/>
      </rPr>
      <t xml:space="preserve">時間確率 </t>
    </r>
    <r>
      <rPr>
        <b val="true"/>
        <sz val="10"/>
        <rFont val="Yu Gothic"/>
        <family val="0"/>
        <charset val="1"/>
      </rPr>
      <t xml:space="preserve">λ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Yu Gothic"/>
        <family val="0"/>
        <charset val="1"/>
      </rPr>
      <t xml:space="preserve">/hr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</si>
  <si>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運転中いつでも起こりうる故障の発生率。起因事象に使う。年間頻度＝</t>
    </r>
    <r>
      <rPr>
        <sz val="10"/>
        <rFont val="Yu Gothic"/>
        <family val="0"/>
        <charset val="1"/>
      </rPr>
      <t xml:space="preserve">λ×</t>
    </r>
    <r>
      <rPr>
        <sz val="10"/>
        <rFont val="WenQuanYi Zen Hei"/>
        <family val="2"/>
      </rPr>
      <t xml:space="preserve">年間稼働時間</t>
    </r>
    <r>
      <rPr>
        <sz val="10"/>
        <rFont val="Yu Gothic"/>
        <family val="0"/>
        <charset val="1"/>
      </rPr>
      <t xml:space="preserve">H</t>
    </r>
    <r>
      <rPr>
        <sz val="10"/>
        <rFont val="WenQuanYi Zen Hei"/>
        <family val="2"/>
      </rPr>
      <t xml:space="preserve">。</t>
    </r>
  </si>
  <si>
    <r>
      <rPr>
        <b val="true"/>
        <sz val="10"/>
        <rFont val="WenQuanYi Zen Hei"/>
        <family val="2"/>
      </rPr>
      <t xml:space="preserve">デマンド確率（</t>
    </r>
    <r>
      <rPr>
        <b val="true"/>
        <sz val="10"/>
        <rFont val="Yu Gothic"/>
        <family val="0"/>
        <charset val="1"/>
      </rPr>
      <t xml:space="preserve">/d</t>
    </r>
    <r>
      <rPr>
        <b val="true"/>
        <sz val="10"/>
        <rFont val="WenQuanYi Zen Hei"/>
        <family val="2"/>
      </rPr>
      <t xml:space="preserve">）</t>
    </r>
  </si>
  <si>
    <t xml:space="preserve">「要求されたときに動かない確率」。検出・警報・人の対処・インターロック・安全弁など防護層に使う。</t>
  </si>
  <si>
    <r>
      <rPr>
        <b val="true"/>
        <sz val="11"/>
        <rFont val="Yu Gothic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ゲートは</t>
    </r>
    <r>
      <rPr>
        <b val="true"/>
        <sz val="11"/>
        <rFont val="Yu Gothic"/>
        <family val="0"/>
        <charset val="1"/>
      </rPr>
      <t xml:space="preserve">2</t>
    </r>
    <r>
      <rPr>
        <b val="true"/>
        <sz val="11"/>
        <rFont val="WenQuanYi Zen Hei"/>
        <family val="2"/>
      </rPr>
      <t xml:space="preserve">つだけ（</t>
    </r>
    <r>
      <rPr>
        <b val="true"/>
        <sz val="11"/>
        <rFont val="Yu Gothic"/>
        <family val="0"/>
        <charset val="1"/>
      </rPr>
      <t xml:space="preserve">AND</t>
    </r>
    <r>
      <rPr>
        <b val="true"/>
        <sz val="11"/>
        <rFont val="WenQuanYi Zen Hei"/>
        <family val="2"/>
      </rPr>
      <t xml:space="preserve">と</t>
    </r>
    <r>
      <rPr>
        <b val="true"/>
        <sz val="11"/>
        <rFont val="Yu Gothic"/>
        <family val="0"/>
        <charset val="1"/>
      </rPr>
      <t xml:space="preserve">OR</t>
    </r>
    <r>
      <rPr>
        <b val="true"/>
        <sz val="11"/>
        <rFont val="WenQuanYi Zen Hei"/>
        <family val="2"/>
      </rPr>
      <t xml:space="preserve">の使い分け）</t>
    </r>
  </si>
  <si>
    <r>
      <rPr>
        <b val="true"/>
        <sz val="10"/>
        <rFont val="Yu Gothic"/>
        <family val="0"/>
        <charset val="1"/>
      </rPr>
      <t xml:space="preserve">OR</t>
    </r>
    <r>
      <rPr>
        <b val="true"/>
        <sz val="10"/>
        <rFont val="WenQuanYi Zen Hei"/>
        <family val="2"/>
      </rPr>
      <t xml:space="preserve">ゲート ＝ 足し算</t>
    </r>
  </si>
  <si>
    <r>
      <rPr>
        <sz val="10"/>
        <rFont val="WenQuanYi Zen Hei"/>
        <family val="2"/>
      </rPr>
      <t xml:space="preserve">「どれか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つでも起これば上の事象になる」関係。例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起因事象の中身（検出器の故障でも、</t>
    </r>
    <r>
      <rPr>
        <sz val="10"/>
        <rFont val="Yu Gothic"/>
        <family val="0"/>
        <charset val="1"/>
      </rPr>
      <t xml:space="preserve">DCS</t>
    </r>
    <r>
      <rPr>
        <sz val="10"/>
        <rFont val="WenQuanYi Zen Hei"/>
        <family val="2"/>
      </rPr>
      <t xml:space="preserve">の故障でも、弁の故障でも開度異常になる）、防護層の中身（検出器が壊れていても、アラームに気づかなくても、対処に失敗しても、その層は破られる）。確率は和 </t>
    </r>
    <r>
      <rPr>
        <sz val="10"/>
        <rFont val="Yu Gothic"/>
        <family val="0"/>
        <charset val="1"/>
      </rPr>
      <t xml:space="preserve">P1</t>
    </r>
    <r>
      <rPr>
        <sz val="10"/>
        <rFont val="WenQuanYi Zen Hei"/>
        <family val="2"/>
      </rPr>
      <t xml:space="preserve">＋</t>
    </r>
    <r>
      <rPr>
        <sz val="10"/>
        <rFont val="Yu Gothic"/>
        <family val="0"/>
        <charset val="1"/>
      </rPr>
      <t xml:space="preserve">P2</t>
    </r>
    <r>
      <rPr>
        <sz val="10"/>
        <rFont val="WenQuanYi Zen Hei"/>
        <family val="2"/>
      </rPr>
      <t xml:space="preserve">＋…（厳密には </t>
    </r>
    <r>
      <rPr>
        <sz val="10"/>
        <rFont val="Yu Gothic"/>
        <family val="0"/>
        <charset val="1"/>
      </rPr>
      <t xml:space="preserve">1−(1−P1)×(1−P2)×… </t>
    </r>
    <r>
      <rPr>
        <sz val="10"/>
        <rFont val="WenQuanYi Zen Hei"/>
        <family val="2"/>
      </rPr>
      <t xml:space="preserve">だが、</t>
    </r>
    <r>
      <rPr>
        <sz val="10"/>
        <rFont val="Yu Gothic"/>
        <family val="0"/>
        <charset val="1"/>
      </rPr>
      <t xml:space="preserve">P</t>
    </r>
    <r>
      <rPr>
        <sz val="10"/>
        <rFont val="WenQuanYi Zen Hei"/>
        <family val="2"/>
      </rPr>
      <t xml:space="preserve">が小さければ和と同じ。</t>
    </r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のカットセット積和も和の扱い）。</t>
    </r>
  </si>
  <si>
    <r>
      <rPr>
        <b val="true"/>
        <sz val="10"/>
        <rFont val="Yu Gothic"/>
        <family val="0"/>
        <charset val="1"/>
      </rPr>
      <t xml:space="preserve">AND</t>
    </r>
    <r>
      <rPr>
        <b val="true"/>
        <sz val="10"/>
        <rFont val="WenQuanYi Zen Hei"/>
        <family val="2"/>
      </rPr>
      <t xml:space="preserve">ゲート ＝ 掛け算</t>
    </r>
  </si>
  <si>
    <r>
      <rPr>
        <sz val="10"/>
        <rFont val="WenQuanYi Zen Hei"/>
        <family val="2"/>
      </rPr>
      <t xml:space="preserve">「全部起こって初めて上の事象になる」関係。例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起因事象 </t>
    </r>
    <r>
      <rPr>
        <sz val="10"/>
        <rFont val="Yu Gothic"/>
        <family val="0"/>
        <charset val="1"/>
      </rPr>
      <t xml:space="preserve">AND </t>
    </r>
    <r>
      <rPr>
        <sz val="10"/>
        <rFont val="WenQuanYi Zen Hei"/>
        <family val="2"/>
      </rPr>
      <t xml:space="preserve">層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の失敗 </t>
    </r>
    <r>
      <rPr>
        <sz val="10"/>
        <rFont val="Yu Gothic"/>
        <family val="0"/>
        <charset val="1"/>
      </rPr>
      <t xml:space="preserve">AND </t>
    </r>
    <r>
      <rPr>
        <sz val="10"/>
        <rFont val="WenQuanYi Zen Hei"/>
        <family val="2"/>
      </rPr>
      <t xml:space="preserve">層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の失敗 ＝ 最終事象。層の中でも、冗長化した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つの検出器は「両方壊れて初めて検出失敗」なので</t>
    </r>
    <r>
      <rPr>
        <sz val="10"/>
        <rFont val="Yu Gothic"/>
        <family val="0"/>
        <charset val="1"/>
      </rPr>
      <t xml:space="preserve">AND</t>
    </r>
    <r>
      <rPr>
        <sz val="10"/>
        <rFont val="WenQuanYi Zen Hei"/>
        <family val="2"/>
      </rPr>
      <t xml:space="preserve">（積）。</t>
    </r>
  </si>
  <si>
    <t xml:space="preserve">具体例</t>
  </si>
  <si>
    <r>
      <rPr>
        <sz val="10"/>
        <rFont val="WenQuanYi Zen Hei"/>
        <family val="2"/>
      </rPr>
      <t xml:space="preserve">（機器の故障 </t>
    </r>
    <r>
      <rPr>
        <sz val="10"/>
        <rFont val="Yu Gothic"/>
        <family val="0"/>
        <charset val="1"/>
      </rPr>
      <t xml:space="preserve">OR DCS</t>
    </r>
    <r>
      <rPr>
        <sz val="10"/>
        <rFont val="WenQuanYi Zen Hei"/>
        <family val="2"/>
      </rPr>
      <t xml:space="preserve">の故障）で異常が発生し、</t>
    </r>
    <r>
      <rPr>
        <sz val="10"/>
        <rFont val="Yu Gothic"/>
        <family val="0"/>
        <charset val="1"/>
      </rPr>
      <t xml:space="preserve">AND </t>
    </r>
    <r>
      <rPr>
        <sz val="10"/>
        <rFont val="WenQuanYi Zen Hei"/>
        <family val="2"/>
      </rPr>
      <t xml:space="preserve">運転員が見逃す、が両方成り立つとトラブル。式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頻度 ＝ </t>
    </r>
    <r>
      <rPr>
        <sz val="10"/>
        <rFont val="Yu Gothic"/>
        <family val="0"/>
        <charset val="1"/>
      </rPr>
      <t xml:space="preserve">(λ</t>
    </r>
    <r>
      <rPr>
        <sz val="10"/>
        <rFont val="WenQuanYi Zen Hei"/>
        <family val="2"/>
      </rPr>
      <t xml:space="preserve">機器＋</t>
    </r>
    <r>
      <rPr>
        <sz val="10"/>
        <rFont val="Yu Gothic"/>
        <family val="0"/>
        <charset val="1"/>
      </rPr>
      <t xml:space="preserve">λDCS) × H × PFD</t>
    </r>
    <r>
      <rPr>
        <sz val="10"/>
        <rFont val="WenQuanYi Zen Hei"/>
        <family val="2"/>
      </rPr>
      <t xml:space="preserve">運転員。下の行に式が入っている。</t>
    </r>
  </si>
  <si>
    <r>
      <rPr>
        <sz val="10"/>
        <rFont val="WenQuanYi Zen Hei"/>
        <family val="2"/>
      </rPr>
      <t xml:space="preserve">上の具体例の計算（流量計＋</t>
    </r>
    <r>
      <rPr>
        <sz val="10"/>
        <rFont val="Yu Gothic"/>
        <family val="0"/>
        <charset val="1"/>
      </rPr>
      <t xml:space="preserve">DCS</t>
    </r>
    <r>
      <rPr>
        <sz val="10"/>
        <rFont val="WenQuanYi Zen Hei"/>
        <family val="2"/>
      </rPr>
      <t xml:space="preserve">が</t>
    </r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で壊れ、運転員対処</t>
    </r>
    <r>
      <rPr>
        <sz val="10"/>
        <rFont val="Yu Gothic"/>
        <family val="0"/>
        <charset val="1"/>
      </rPr>
      <t xml:space="preserve">(10</t>
    </r>
    <r>
      <rPr>
        <sz val="10"/>
        <rFont val="WenQuanYi Zen Hei"/>
        <family val="2"/>
      </rPr>
      <t xml:space="preserve">分</t>
    </r>
    <r>
      <rPr>
        <sz val="10"/>
        <rFont val="Yu Gothic"/>
        <family val="0"/>
        <charset val="1"/>
      </rPr>
      <t xml:space="preserve">)</t>
    </r>
    <r>
      <rPr>
        <sz val="10"/>
        <rFont val="WenQuanYi Zen Hei"/>
        <family val="2"/>
      </rPr>
      <t xml:space="preserve">が失敗）</t>
    </r>
  </si>
  <si>
    <r>
      <rPr>
        <sz val="9"/>
        <color rgb="FF595959"/>
        <rFont val="WenQuanYi Zen Hei"/>
        <family val="2"/>
      </rPr>
      <t xml:space="preserve">単位は</t>
    </r>
    <r>
      <rPr>
        <sz val="9"/>
        <color rgb="FF595959"/>
        <rFont val="Yu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年。</t>
    </r>
    <r>
      <rPr>
        <sz val="9"/>
        <color rgb="FF595959"/>
        <rFont val="Yu Gothic"/>
        <family val="0"/>
        <charset val="1"/>
      </rPr>
      <t xml:space="preserve">OR</t>
    </r>
    <r>
      <rPr>
        <sz val="9"/>
        <color rgb="FF595959"/>
        <rFont val="WenQuanYi Zen Hei"/>
        <family val="2"/>
      </rPr>
      <t xml:space="preserve">の中身は足し算、起因と防護層の間は掛け算、になっていることを式で確認できる。</t>
    </r>
  </si>
  <si>
    <r>
      <rPr>
        <b val="true"/>
        <sz val="11"/>
        <rFont val="Yu Gothic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基本式（この</t>
    </r>
    <r>
      <rPr>
        <b val="true"/>
        <sz val="11"/>
        <rFont val="Yu Gothic"/>
        <family val="0"/>
        <charset val="1"/>
      </rPr>
      <t xml:space="preserve">4</t>
    </r>
    <r>
      <rPr>
        <b val="true"/>
        <sz val="11"/>
        <rFont val="WenQuanYi Zen Hei"/>
        <family val="2"/>
      </rPr>
      <t xml:space="preserve">つだけ）</t>
    </r>
  </si>
  <si>
    <t xml:space="preserve">起因事象の頻度</t>
  </si>
  <si>
    <r>
      <rPr>
        <sz val="10"/>
        <rFont val="Yu Gothic"/>
        <family val="0"/>
        <charset val="1"/>
      </rPr>
      <t xml:space="preserve">F0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年） ＝ </t>
    </r>
    <r>
      <rPr>
        <sz val="10"/>
        <rFont val="Yu Gothic"/>
        <family val="0"/>
        <charset val="1"/>
      </rPr>
      <t xml:space="preserve">λ</t>
    </r>
    <r>
      <rPr>
        <sz val="10"/>
        <rFont val="WenQuanYi Zen Hei"/>
        <family val="2"/>
      </rPr>
      <t xml:space="preserve">合計（</t>
    </r>
    <r>
      <rPr>
        <sz val="10"/>
        <rFont val="Yu Gothic"/>
        <family val="0"/>
        <charset val="1"/>
      </rPr>
      <t xml:space="preserve">/hr</t>
    </r>
    <r>
      <rPr>
        <sz val="10"/>
        <rFont val="WenQuanYi Zen Hei"/>
        <family val="2"/>
      </rPr>
      <t xml:space="preserve">） </t>
    </r>
    <r>
      <rPr>
        <sz val="10"/>
        <rFont val="Yu Gothic"/>
        <family val="0"/>
        <charset val="1"/>
      </rPr>
      <t xml:space="preserve">× </t>
    </r>
    <r>
      <rPr>
        <sz val="10"/>
        <rFont val="WenQuanYi Zen Hei"/>
        <family val="2"/>
      </rPr>
      <t xml:space="preserve">年間稼働時間</t>
    </r>
    <r>
      <rPr>
        <sz val="10"/>
        <rFont val="Yu Gothic"/>
        <family val="0"/>
        <charset val="1"/>
      </rPr>
      <t xml:space="preserve">H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h/</t>
    </r>
    <r>
      <rPr>
        <sz val="10"/>
        <rFont val="WenQuanYi Zen Hei"/>
        <family val="2"/>
      </rPr>
      <t xml:space="preserve">年）。制御ループの開度異常などは、検出器＋</t>
    </r>
    <r>
      <rPr>
        <sz val="10"/>
        <rFont val="Yu Gothic"/>
        <family val="0"/>
        <charset val="1"/>
      </rPr>
      <t xml:space="preserve">DCS</t>
    </r>
    <r>
      <rPr>
        <sz val="10"/>
        <rFont val="WenQuanYi Zen Hei"/>
        <family val="2"/>
      </rPr>
      <t xml:space="preserve">＋操作端の</t>
    </r>
    <r>
      <rPr>
        <sz val="10"/>
        <rFont val="Yu Gothic"/>
        <family val="0"/>
        <charset val="1"/>
      </rPr>
      <t xml:space="preserve">λ</t>
    </r>
    <r>
      <rPr>
        <sz val="10"/>
        <rFont val="WenQuanYi Zen Hei"/>
        <family val="2"/>
      </rPr>
      <t xml:space="preserve">の和（</t>
    </r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）。</t>
    </r>
  </si>
  <si>
    <t xml:space="preserve">最終事象の頻度</t>
  </si>
  <si>
    <r>
      <rPr>
        <sz val="10"/>
        <rFont val="Yu Gothic"/>
        <family val="0"/>
        <charset val="1"/>
      </rPr>
      <t xml:space="preserve">F </t>
    </r>
    <r>
      <rPr>
        <sz val="10"/>
        <rFont val="WenQuanYi Zen Hei"/>
        <family val="2"/>
      </rPr>
      <t xml:space="preserve">＝ </t>
    </r>
    <r>
      <rPr>
        <sz val="10"/>
        <rFont val="Yu Gothic"/>
        <family val="0"/>
        <charset val="1"/>
      </rPr>
      <t xml:space="preserve">F0 × PFD</t>
    </r>
    <r>
      <rPr>
        <sz val="10"/>
        <rFont val="WenQuanYi Zen Hei"/>
        <family val="2"/>
      </rPr>
      <t xml:space="preserve">層</t>
    </r>
    <r>
      <rPr>
        <sz val="10"/>
        <rFont val="Yu Gothic"/>
        <family val="0"/>
        <charset val="1"/>
      </rPr>
      <t xml:space="preserve">1 × PFD</t>
    </r>
    <r>
      <rPr>
        <sz val="10"/>
        <rFont val="WenQuanYi Zen Hei"/>
        <family val="2"/>
      </rPr>
      <t xml:space="preserve">層</t>
    </r>
    <r>
      <rPr>
        <sz val="10"/>
        <rFont val="Yu Gothic"/>
        <family val="0"/>
        <charset val="1"/>
      </rPr>
      <t xml:space="preserve">2 × …</t>
    </r>
    <r>
      <rPr>
        <sz val="10"/>
        <rFont val="WenQuanYi Zen Hei"/>
        <family val="2"/>
      </rPr>
      <t xml:space="preserve">。防護層は「すべて失敗したとき」だけ最終事象に至るので</t>
    </r>
    <r>
      <rPr>
        <sz val="10"/>
        <rFont val="Yu Gothic"/>
        <family val="0"/>
        <charset val="1"/>
      </rPr>
      <t xml:space="preserve">AND</t>
    </r>
    <r>
      <rPr>
        <sz val="10"/>
        <rFont val="WenQuanYi Zen Hei"/>
        <family val="2"/>
      </rPr>
      <t xml:space="preserve">＝掛け算。</t>
    </r>
  </si>
  <si>
    <r>
      <rPr>
        <b val="true"/>
        <sz val="10"/>
        <rFont val="WenQuanYi Zen Hei"/>
        <family val="2"/>
      </rPr>
      <t xml:space="preserve">層の</t>
    </r>
    <r>
      <rPr>
        <b val="true"/>
        <sz val="10"/>
        <rFont val="Yu Gothic"/>
        <family val="0"/>
        <charset val="1"/>
      </rPr>
      <t xml:space="preserve">PFD</t>
    </r>
    <r>
      <rPr>
        <b val="true"/>
        <sz val="10"/>
        <rFont val="WenQuanYi Zen Hei"/>
        <family val="2"/>
      </rPr>
      <t xml:space="preserve">（失敗確率）</t>
    </r>
  </si>
  <si>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の層 ＝ 構成要素のデマンド確率の和。 </t>
    </r>
    <r>
      <rPr>
        <sz val="10"/>
        <rFont val="Yu Gothic"/>
        <family val="0"/>
        <charset val="1"/>
      </rPr>
      <t xml:space="preserve">AND</t>
    </r>
    <r>
      <rPr>
        <sz val="10"/>
        <rFont val="WenQuanYi Zen Hei"/>
        <family val="2"/>
      </rPr>
      <t xml:space="preserve">の層（冗長系） ＝ 積。</t>
    </r>
  </si>
  <si>
    <t xml:space="preserve">待機系の換算</t>
  </si>
  <si>
    <r>
      <rPr>
        <sz val="10"/>
        <rFont val="WenQuanYi Zen Hei"/>
        <family val="2"/>
      </rPr>
      <t xml:space="preserve">点検周期</t>
    </r>
    <r>
      <rPr>
        <sz val="10"/>
        <rFont val="Yu Gothic"/>
        <family val="0"/>
        <charset val="1"/>
      </rPr>
      <t xml:space="preserve">T</t>
    </r>
    <r>
      <rPr>
        <sz val="10"/>
        <rFont val="WenQuanYi Zen Hei"/>
        <family val="2"/>
      </rPr>
      <t xml:space="preserve">で点検される待機機器は デマンド確率 ＝ </t>
    </r>
    <r>
      <rPr>
        <sz val="10"/>
        <rFont val="Yu Gothic"/>
        <family val="0"/>
        <charset val="1"/>
      </rPr>
      <t xml:space="preserve">λ × T ÷ 2</t>
    </r>
    <r>
      <rPr>
        <sz val="10"/>
        <rFont val="WenQuanYi Zen Hei"/>
        <family val="2"/>
      </rPr>
      <t xml:space="preserve">。（故障してから次の点検までの平均放置時間が</t>
    </r>
    <r>
      <rPr>
        <sz val="10"/>
        <rFont val="Yu Gothic"/>
        <family val="0"/>
        <charset val="1"/>
      </rPr>
      <t xml:space="preserve">T/2</t>
    </r>
    <r>
      <rPr>
        <sz val="10"/>
        <rFont val="WenQuanYi Zen Hei"/>
        <family val="2"/>
      </rPr>
      <t xml:space="preserve">のため。月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回点検なら</t>
    </r>
    <r>
      <rPr>
        <sz val="10"/>
        <rFont val="Yu Gothic"/>
        <family val="0"/>
        <charset val="1"/>
      </rPr>
      <t xml:space="preserve">T=720h</t>
    </r>
    <r>
      <rPr>
        <sz val="10"/>
        <rFont val="WenQuanYi Zen Hei"/>
        <family val="2"/>
      </rPr>
      <t xml:space="preserve">）</t>
    </r>
  </si>
  <si>
    <r>
      <rPr>
        <b val="true"/>
        <sz val="11"/>
        <rFont val="Yu Gothic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層の中身の組み立て方（</t>
    </r>
    <r>
      <rPr>
        <b val="true"/>
        <sz val="11"/>
        <rFont val="Yu Gothic"/>
        <family val="0"/>
        <charset val="1"/>
      </rPr>
      <t xml:space="preserve">FT</t>
    </r>
    <r>
      <rPr>
        <b val="true"/>
        <sz val="11"/>
        <rFont val="WenQuanYi Zen Hei"/>
        <family val="2"/>
      </rPr>
      <t xml:space="preserve">展開の型）</t>
    </r>
  </si>
  <si>
    <r>
      <rPr>
        <b val="true"/>
        <sz val="10"/>
        <rFont val="WenQuanYi Zen Hei"/>
        <family val="2"/>
      </rPr>
      <t xml:space="preserve">人が対処する層（</t>
    </r>
    <r>
      <rPr>
        <b val="true"/>
        <sz val="10"/>
        <rFont val="Yu Gothic"/>
        <family val="0"/>
        <charset val="1"/>
      </rPr>
      <t xml:space="preserve">OR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</si>
  <si>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層</t>
    </r>
    <r>
      <rPr>
        <sz val="10"/>
        <rFont val="Yu Gothic"/>
        <family val="0"/>
        <charset val="1"/>
      </rPr>
      <t xml:space="preserve">PFD </t>
    </r>
    <r>
      <rPr>
        <sz val="10"/>
        <rFont val="WenQuanYi Zen Hei"/>
        <family val="2"/>
      </rPr>
      <t xml:space="preserve">＝ 発見手段の故障（検出器＋</t>
    </r>
    <r>
      <rPr>
        <sz val="10"/>
        <rFont val="Yu Gothic"/>
        <family val="0"/>
        <charset val="1"/>
      </rPr>
      <t xml:space="preserve">DCS</t>
    </r>
    <r>
      <rPr>
        <sz val="10"/>
        <rFont val="WenQuanYi Zen Hei"/>
        <family val="2"/>
      </rPr>
      <t xml:space="preserve">＋アラーム） ＋ アラームに気づかない ＋ 発見したが対処できない。「対処できない」は時間余裕で値が変わる（</t>
    </r>
    <r>
      <rPr>
        <sz val="10"/>
        <rFont val="Yu Gothic"/>
        <family val="0"/>
        <charset val="1"/>
      </rPr>
      <t xml:space="preserve">10</t>
    </r>
    <r>
      <rPr>
        <sz val="10"/>
        <rFont val="WenQuanYi Zen Hei"/>
        <family val="2"/>
      </rPr>
      <t xml:space="preserve">分</t>
    </r>
    <r>
      <rPr>
        <sz val="10"/>
        <rFont val="Yu Gothic"/>
        <family val="0"/>
        <charset val="1"/>
      </rPr>
      <t xml:space="preserve">: 0.3 / 1</t>
    </r>
    <r>
      <rPr>
        <sz val="10"/>
        <rFont val="WenQuanYi Zen Hei"/>
        <family val="2"/>
      </rPr>
      <t xml:space="preserve">時間</t>
    </r>
    <r>
      <rPr>
        <sz val="10"/>
        <rFont val="Yu Gothic"/>
        <family val="0"/>
        <charset val="1"/>
      </rPr>
      <t xml:space="preserve">: 0.006 / 1</t>
    </r>
    <r>
      <rPr>
        <sz val="10"/>
        <rFont val="WenQuanYi Zen Hei"/>
        <family val="2"/>
      </rPr>
      <t xml:space="preserve">日</t>
    </r>
    <r>
      <rPr>
        <sz val="10"/>
        <rFont val="Yu Gothic"/>
        <family val="0"/>
        <charset val="1"/>
      </rPr>
      <t xml:space="preserve">: 0.0003</t>
    </r>
    <r>
      <rPr>
        <sz val="10"/>
        <rFont val="WenQuanYi Zen Hei"/>
        <family val="2"/>
      </rPr>
      <t xml:space="preserve">）。</t>
    </r>
  </si>
  <si>
    <r>
      <rPr>
        <b val="true"/>
        <sz val="10"/>
        <rFont val="WenQuanYi Zen Hei"/>
        <family val="2"/>
      </rPr>
      <t xml:space="preserve">自動の層＝インターロック（</t>
    </r>
    <r>
      <rPr>
        <b val="true"/>
        <sz val="10"/>
        <rFont val="Yu Gothic"/>
        <family val="0"/>
        <charset val="1"/>
      </rPr>
      <t xml:space="preserve">OR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</si>
  <si>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層</t>
    </r>
    <r>
      <rPr>
        <sz val="10"/>
        <rFont val="Yu Gothic"/>
        <family val="0"/>
        <charset val="1"/>
      </rPr>
      <t xml:space="preserve">PFD </t>
    </r>
    <r>
      <rPr>
        <sz val="10"/>
        <rFont val="WenQuanYi Zen Hei"/>
        <family val="2"/>
      </rPr>
      <t xml:space="preserve">＝ 検出器 ＋ ロジック（リレー回路） ＋ 操作端（電磁弁・空気調整弁）。人は介在しない。</t>
    </r>
  </si>
  <si>
    <t xml:space="preserve">機械式の層</t>
  </si>
  <si>
    <t xml:space="preserve">安全弁・チェッキ弁などは単体のデマンド確率をそのまま使う。</t>
  </si>
  <si>
    <r>
      <rPr>
        <b val="true"/>
        <sz val="10"/>
        <rFont val="WenQuanYi Zen Hei"/>
        <family val="2"/>
      </rPr>
      <t xml:space="preserve">冗長化した層（</t>
    </r>
    <r>
      <rPr>
        <b val="true"/>
        <sz val="10"/>
        <rFont val="Yu Gothic"/>
        <family val="0"/>
        <charset val="1"/>
      </rPr>
      <t xml:space="preserve">AND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</si>
  <si>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同じ機能の検出器を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つ独立に置いた場合など。層</t>
    </r>
    <r>
      <rPr>
        <sz val="10"/>
        <rFont val="Yu Gothic"/>
        <family val="0"/>
        <charset val="1"/>
      </rPr>
      <t xml:space="preserve">PFD </t>
    </r>
    <r>
      <rPr>
        <sz val="10"/>
        <rFont val="WenQuanYi Zen Hei"/>
        <family val="2"/>
      </rPr>
      <t xml:space="preserve">＝ 積（両方失敗して初めて破られる）。ただし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つが</t>
    </r>
    <r>
      <rPr>
        <sz val="10"/>
        <rFont val="Yu Gothic"/>
        <family val="0"/>
        <charset val="1"/>
      </rPr>
      <t xml:space="preserve">DCS</t>
    </r>
    <r>
      <rPr>
        <sz val="10"/>
        <rFont val="WenQuanYi Zen Hei"/>
        <family val="2"/>
      </rPr>
      <t xml:space="preserve">や電源を共有していると独立でなくなり、積ほど下がらない（コモン事象）。</t>
    </r>
  </si>
  <si>
    <r>
      <rPr>
        <b val="true"/>
        <sz val="11"/>
        <rFont val="Yu Gothic"/>
        <family val="0"/>
        <charset val="1"/>
      </rPr>
      <t xml:space="preserve">6. </t>
    </r>
    <r>
      <rPr>
        <b val="true"/>
        <sz val="11"/>
        <rFont val="WenQuanYi Zen Hei"/>
        <family val="2"/>
      </rPr>
      <t xml:space="preserve">対策の効き方の目安（層を</t>
    </r>
    <r>
      <rPr>
        <b val="true"/>
        <sz val="11"/>
        <rFont val="Yu Gothic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つ足すと頻度は</t>
    </r>
    <r>
      <rPr>
        <b val="true"/>
        <sz val="11"/>
        <rFont val="Yu Gothic"/>
        <family val="0"/>
        <charset val="1"/>
      </rPr>
      <t xml:space="preserve">1/◯</t>
    </r>
    <r>
      <rPr>
        <b val="true"/>
        <sz val="11"/>
        <rFont val="WenQuanYi Zen Hei"/>
        <family val="2"/>
      </rPr>
      <t xml:space="preserve">になる）</t>
    </r>
  </si>
  <si>
    <t xml:space="preserve">追加する層</t>
  </si>
  <si>
    <r>
      <rPr>
        <b val="true"/>
        <sz val="10"/>
        <rFont val="WenQuanYi Zen Hei"/>
        <family val="2"/>
      </rPr>
      <t xml:space="preserve">層</t>
    </r>
    <r>
      <rPr>
        <b val="true"/>
        <sz val="10"/>
        <rFont val="Yu Gothic"/>
        <family val="0"/>
        <charset val="1"/>
      </rPr>
      <t xml:space="preserve">PFD</t>
    </r>
  </si>
  <si>
    <t xml:space="preserve">低減倍率</t>
  </si>
  <si>
    <r>
      <rPr>
        <sz val="10"/>
        <rFont val="WenQuanYi Zen Hei"/>
        <family val="2"/>
      </rPr>
      <t xml:space="preserve">運転員の監視・対処（時間余裕</t>
    </r>
    <r>
      <rPr>
        <sz val="10"/>
        <rFont val="Yu Gothic"/>
        <family val="0"/>
        <charset val="1"/>
      </rPr>
      <t xml:space="preserve">10</t>
    </r>
    <r>
      <rPr>
        <sz val="10"/>
        <rFont val="WenQuanYi Zen Hei"/>
        <family val="2"/>
      </rPr>
      <t xml:space="preserve">分）</t>
    </r>
  </si>
  <si>
    <t xml:space="preserve">独立したインターロック（検出器＋リレー＋弁）</t>
  </si>
  <si>
    <t xml:space="preserve">安全弁</t>
  </si>
  <si>
    <r>
      <rPr>
        <sz val="9"/>
        <color rgb="FF595959"/>
        <rFont val="WenQuanYi Zen Hei"/>
        <family val="2"/>
      </rPr>
      <t xml:space="preserve">（読み方）運転員頼みの層は対処失敗</t>
    </r>
    <r>
      <rPr>
        <sz val="9"/>
        <color rgb="FF595959"/>
        <rFont val="Yu Gothic"/>
        <family val="0"/>
        <charset val="1"/>
      </rPr>
      <t xml:space="preserve">0.3</t>
    </r>
    <r>
      <rPr>
        <sz val="9"/>
        <color rgb="FF595959"/>
        <rFont val="WenQuanYi Zen Hei"/>
        <family val="2"/>
      </rPr>
      <t xml:space="preserve">が支配的で</t>
    </r>
    <r>
      <rPr>
        <sz val="9"/>
        <color rgb="FF595959"/>
        <rFont val="Yu Gothic"/>
        <family val="0"/>
        <charset val="1"/>
      </rPr>
      <t xml:space="preserve">3</t>
    </r>
    <r>
      <rPr>
        <sz val="9"/>
        <color rgb="FF595959"/>
        <rFont val="WenQuanYi Zen Hei"/>
        <family val="2"/>
      </rPr>
      <t xml:space="preserve">倍弱しか効かない。自動の層は約</t>
    </r>
    <r>
      <rPr>
        <sz val="9"/>
        <color rgb="FF595959"/>
        <rFont val="Yu Gothic"/>
        <family val="0"/>
        <charset val="1"/>
      </rPr>
      <t xml:space="preserve">12</t>
    </r>
    <r>
      <rPr>
        <sz val="9"/>
        <color rgb="FF595959"/>
        <rFont val="WenQuanYi Zen Hei"/>
        <family val="2"/>
      </rPr>
      <t xml:space="preserve">倍、安全弁は数千倍効く。層を足しても効かないときは、その層の</t>
    </r>
    <r>
      <rPr>
        <sz val="9"/>
        <color rgb="FF595959"/>
        <rFont val="Yu Gothic"/>
        <family val="0"/>
        <charset val="1"/>
      </rPr>
      <t xml:space="preserve">PFD</t>
    </r>
    <r>
      <rPr>
        <sz val="9"/>
        <color rgb="FF595959"/>
        <rFont val="WenQuanYi Zen Hei"/>
        <family val="2"/>
      </rPr>
      <t xml:space="preserve">が大きい（人頼み）か、既存の層と要素を共有しているのが原因。</t>
    </r>
  </si>
  <si>
    <r>
      <rPr>
        <b val="true"/>
        <sz val="11"/>
        <rFont val="Yu Gothic"/>
        <family val="0"/>
        <charset val="1"/>
      </rPr>
      <t xml:space="preserve">7. </t>
    </r>
    <r>
      <rPr>
        <b val="true"/>
        <sz val="11"/>
        <rFont val="WenQuanYi Zen Hei"/>
        <family val="2"/>
      </rPr>
      <t xml:space="preserve">生きた検算（式が入っています）</t>
    </r>
  </si>
  <si>
    <r>
      <rPr>
        <sz val="10"/>
        <rFont val="WenQuanYi Zen Hei"/>
        <family val="2"/>
      </rPr>
      <t xml:space="preserve">待機系換算の確認</t>
    </r>
    <r>
      <rPr>
        <sz val="10"/>
        <rFont val="Yu Gothic"/>
        <family val="0"/>
        <charset val="1"/>
      </rPr>
      <t xml:space="preserve">: </t>
    </r>
    <r>
      <rPr>
        <sz val="10"/>
        <rFont val="WenQuanYi Zen Hei"/>
        <family val="2"/>
      </rPr>
      <t xml:space="preserve">温度計 </t>
    </r>
    <r>
      <rPr>
        <sz val="10"/>
        <rFont val="Yu Gothic"/>
        <family val="0"/>
        <charset val="1"/>
      </rPr>
      <t xml:space="preserve">λ×T÷2</t>
    </r>
  </si>
  <si>
    <r>
      <rPr>
        <sz val="9"/>
        <color rgb="FF595959"/>
        <rFont val="WenQuanYi Zen Hei"/>
        <family val="2"/>
      </rPr>
      <t xml:space="preserve">確率</t>
    </r>
    <r>
      <rPr>
        <sz val="9"/>
        <color rgb="FF595959"/>
        <rFont val="Yu Gothic"/>
        <family val="0"/>
        <charset val="1"/>
      </rPr>
      <t xml:space="preserve">DB</t>
    </r>
    <r>
      <rPr>
        <sz val="9"/>
        <color rgb="FF595959"/>
        <rFont val="WenQuanYi Zen Hei"/>
        <family val="2"/>
      </rPr>
      <t xml:space="preserve">の登録値</t>
    </r>
    <r>
      <rPr>
        <sz val="9"/>
        <color rgb="FF595959"/>
        <rFont val="Yu Gothic"/>
        <family val="0"/>
        <charset val="1"/>
      </rPr>
      <t xml:space="preserve">0.035</t>
    </r>
    <r>
      <rPr>
        <sz val="9"/>
        <color rgb="FF595959"/>
        <rFont val="WenQuanYi Zen Hei"/>
        <family val="2"/>
      </rPr>
      <t xml:space="preserve">と一致する（登録値がこの式で作られていることの確認）</t>
    </r>
  </si>
  <si>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の和と厳密式の差</t>
    </r>
    <r>
      <rPr>
        <sz val="10"/>
        <rFont val="Yu Gothic"/>
        <family val="0"/>
        <charset val="1"/>
      </rPr>
      <t xml:space="preserve">: P1=0.3, P2=0.08</t>
    </r>
  </si>
  <si>
    <r>
      <rPr>
        <sz val="9"/>
        <color rgb="FF595959"/>
        <rFont val="WenQuanYi Zen Hei"/>
        <family val="2"/>
      </rPr>
      <t xml:space="preserve">厳密値は </t>
    </r>
    <r>
      <rPr>
        <sz val="9"/>
        <color rgb="FF595959"/>
        <rFont val="Yu Gothic"/>
        <family val="0"/>
        <charset val="1"/>
      </rPr>
      <t xml:space="preserve">1−(0.7×0.92)</t>
    </r>
    <r>
      <rPr>
        <sz val="9"/>
        <color rgb="FF595959"/>
        <rFont val="WenQuanYi Zen Hei"/>
        <family val="2"/>
      </rPr>
      <t xml:space="preserve">＝</t>
    </r>
    <r>
      <rPr>
        <sz val="9"/>
        <color rgb="FF595959"/>
        <rFont val="Yu Gothic"/>
        <family val="0"/>
        <charset val="1"/>
      </rPr>
      <t xml:space="preserve">0.356</t>
    </r>
    <r>
      <rPr>
        <sz val="9"/>
        <color rgb="FF595959"/>
        <rFont val="WenQuanYi Zen Hei"/>
        <family val="2"/>
      </rPr>
      <t xml:space="preserve">。和</t>
    </r>
    <r>
      <rPr>
        <sz val="9"/>
        <color rgb="FF595959"/>
        <rFont val="Yu Gothic"/>
        <family val="0"/>
        <charset val="1"/>
      </rPr>
      <t xml:space="preserve">(0.38)</t>
    </r>
    <r>
      <rPr>
        <sz val="9"/>
        <color rgb="FF595959"/>
        <rFont val="WenQuanYi Zen Hei"/>
        <family val="2"/>
      </rPr>
      <t xml:space="preserve">は少し大きめ＝安全側。</t>
    </r>
    <r>
      <rPr>
        <sz val="9"/>
        <color rgb="FF595959"/>
        <rFont val="Yu Gothic"/>
        <family val="0"/>
        <charset val="1"/>
      </rPr>
      <t xml:space="preserve">PHA_Organizer</t>
    </r>
    <r>
      <rPr>
        <sz val="9"/>
        <color rgb="FF595959"/>
        <rFont val="WenQuanYi Zen Hei"/>
        <family val="2"/>
      </rPr>
      <t xml:space="preserve">も和の扱い（カットセット積和）。</t>
    </r>
  </si>
  <si>
    <r>
      <rPr>
        <b val="true"/>
        <sz val="11"/>
        <rFont val="Yu Gothic"/>
        <family val="0"/>
        <charset val="1"/>
      </rPr>
      <t xml:space="preserve">8. </t>
    </r>
    <r>
      <rPr>
        <b val="true"/>
        <sz val="11"/>
        <rFont val="WenQuanYi Zen Hei"/>
        <family val="2"/>
      </rPr>
      <t xml:space="preserve">コモン事象（掛け算の落とし穴）</t>
    </r>
  </si>
  <si>
    <r>
      <rPr>
        <sz val="10"/>
        <rFont val="WenQuanYi Zen Hei"/>
        <family val="2"/>
      </rPr>
      <t xml:space="preserve">同じ基本事象（例</t>
    </r>
    <r>
      <rPr>
        <sz val="10"/>
        <rFont val="Yu Gothic"/>
        <family val="0"/>
        <charset val="1"/>
      </rPr>
      <t xml:space="preserve">: DCS</t>
    </r>
    <r>
      <rPr>
        <sz val="10"/>
        <rFont val="WenQuanYi Zen Hei"/>
        <family val="2"/>
      </rPr>
      <t xml:space="preserve">故障）が複数の層に現れると、掛け算では同じ故障を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回掛けてしまい頻度を過小評価する。</t>
    </r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はブール代数（ミニマルカットセット）で重複を正しく処理する。本ブックの簡易計算では、同一要素は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つの層にだけ入れて近似すること。</t>
    </r>
  </si>
  <si>
    <r>
      <rPr>
        <sz val="9"/>
        <color rgb="FF595959"/>
        <rFont val="WenQuanYi Zen Hei"/>
        <family val="2"/>
      </rPr>
      <t xml:space="preserve">出典</t>
    </r>
    <r>
      <rPr>
        <sz val="9"/>
        <color rgb="FF595959"/>
        <rFont val="Yu Gothic"/>
        <family val="0"/>
        <charset val="1"/>
      </rPr>
      <t xml:space="preserve">: </t>
    </r>
    <r>
      <rPr>
        <sz val="9"/>
        <color rgb="FF595959"/>
        <rFont val="WenQuanYi Zen Hei"/>
        <family val="2"/>
      </rPr>
      <t xml:space="preserve">計算体系は</t>
    </r>
    <r>
      <rPr>
        <sz val="9"/>
        <color rgb="FF595959"/>
        <rFont val="Yu Gothic"/>
        <family val="0"/>
        <charset val="1"/>
      </rPr>
      <t xml:space="preserve">HAZchart</t>
    </r>
    <r>
      <rPr>
        <sz val="9"/>
        <color rgb="FF595959"/>
        <rFont val="WenQuanYi Zen Hei"/>
        <family val="2"/>
      </rPr>
      <t xml:space="preserve">解析基準（</t>
    </r>
    <r>
      <rPr>
        <sz val="9"/>
        <color rgb="FF595959"/>
        <rFont val="Yu Gothic"/>
        <family val="0"/>
        <charset val="1"/>
      </rPr>
      <t xml:space="preserve">C-2-3</t>
    </r>
    <r>
      <rPr>
        <sz val="9"/>
        <color rgb="FF595959"/>
        <rFont val="WenQuanYi Zen Hei"/>
        <family val="2"/>
      </rPr>
      <t xml:space="preserve">）と</t>
    </r>
    <r>
      <rPr>
        <sz val="9"/>
        <color rgb="FF595959"/>
        <rFont val="Yu Gothic"/>
        <family val="0"/>
        <charset val="1"/>
      </rPr>
      <t xml:space="preserve">PHA_Organizer</t>
    </r>
    <r>
      <rPr>
        <sz val="9"/>
        <color rgb="FF595959"/>
        <rFont val="WenQuanYi Zen Hei"/>
        <family val="2"/>
      </rPr>
      <t xml:space="preserve">の処理に基づく。数値の関係（</t>
    </r>
    <r>
      <rPr>
        <sz val="9"/>
        <color rgb="FF595959"/>
        <rFont val="Yu Gothic"/>
        <family val="0"/>
        <charset val="1"/>
      </rPr>
      <t xml:space="preserve">λ×T/2</t>
    </r>
    <r>
      <rPr>
        <sz val="9"/>
        <color rgb="FF595959"/>
        <rFont val="WenQuanYi Zen Hei"/>
        <family val="2"/>
      </rPr>
      <t xml:space="preserve">＝登録デマンド確率が一致）は</t>
    </r>
    <r>
      <rPr>
        <sz val="9"/>
        <color rgb="FF595959"/>
        <rFont val="Yu Gothic"/>
        <family val="0"/>
        <charset val="1"/>
      </rPr>
      <t xml:space="preserve">project.pha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Yu Gothic"/>
        <family val="0"/>
        <charset val="1"/>
      </rPr>
      <t xml:space="preserve">PHA_Organizer 3.1.1</t>
    </r>
    <r>
      <rPr>
        <sz val="9"/>
        <color rgb="FF595959"/>
        <rFont val="WenQuanYi Zen Hei"/>
        <family val="2"/>
      </rPr>
      <t xml:space="preserve">）設定値を抽出 </t>
    </r>
    <r>
      <rPr>
        <sz val="9"/>
        <color rgb="FF595959"/>
        <rFont val="Yu Gothic"/>
        <family val="0"/>
        <charset val="1"/>
      </rPr>
      <t xml:space="preserve">2026-07-21</t>
    </r>
    <r>
      <rPr>
        <sz val="9"/>
        <color rgb="FF595959"/>
        <rFont val="WenQuanYi Zen Hei"/>
        <family val="2"/>
      </rPr>
      <t xml:space="preserve">で確認済み。</t>
    </r>
  </si>
  <si>
    <r>
      <rPr>
        <b val="true"/>
        <sz val="14"/>
        <rFont val="WenQuanYi Zen Hei"/>
        <family val="2"/>
      </rPr>
      <t xml:space="preserve">確率</t>
    </r>
    <r>
      <rPr>
        <b val="true"/>
        <sz val="14"/>
        <rFont val="Yu Gothic"/>
        <family val="0"/>
        <charset val="1"/>
      </rPr>
      <t xml:space="preserve">DB</t>
    </r>
    <r>
      <rPr>
        <b val="true"/>
        <sz val="14"/>
        <rFont val="WenQuanYi Zen Hei"/>
        <family val="2"/>
      </rPr>
      <t xml:space="preserve">（既存テンプレートの設定値）</t>
    </r>
  </si>
  <si>
    <r>
      <rPr>
        <sz val="9"/>
        <color rgb="FF595959"/>
        <rFont val="WenQuanYi Zen Hei"/>
        <family val="2"/>
      </rPr>
      <t xml:space="preserve">出典</t>
    </r>
    <r>
      <rPr>
        <sz val="9"/>
        <color rgb="FF595959"/>
        <rFont val="Yu Gothic"/>
        <family val="0"/>
        <charset val="1"/>
      </rPr>
      <t xml:space="preserve">: project.pha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Yu Gothic"/>
        <family val="0"/>
        <charset val="1"/>
      </rPr>
      <t xml:space="preserve">PHA_Organizer 3.1.1</t>
    </r>
    <r>
      <rPr>
        <sz val="9"/>
        <color rgb="FF595959"/>
        <rFont val="WenQuanYi Zen Hei"/>
        <family val="2"/>
      </rPr>
      <t xml:space="preserve">）設定値を抽出 </t>
    </r>
    <r>
      <rPr>
        <sz val="9"/>
        <color rgb="FF595959"/>
        <rFont val="Yu Gothic"/>
        <family val="0"/>
        <charset val="1"/>
      </rPr>
      <t xml:space="preserve">2026-07-21</t>
    </r>
    <r>
      <rPr>
        <sz val="9"/>
        <color rgb="FF595959"/>
        <rFont val="WenQuanYi Zen Hei"/>
        <family val="2"/>
      </rPr>
      <t xml:space="preserve">。追記する場合は下の空行に同じ形式で入力（キー列は「要素名／故障モード」）。</t>
    </r>
  </si>
  <si>
    <t xml:space="preserve">分類</t>
  </si>
  <si>
    <t xml:space="preserve">キー（選択用）</t>
  </si>
  <si>
    <t xml:space="preserve">要素名</t>
  </si>
  <si>
    <t xml:space="preserve">故障モード</t>
  </si>
  <si>
    <r>
      <rPr>
        <b val="true"/>
        <sz val="10"/>
        <rFont val="WenQuanYi Zen Hei"/>
        <family val="2"/>
      </rPr>
      <t xml:space="preserve">時間確率</t>
    </r>
    <r>
      <rPr>
        <b val="true"/>
        <sz val="10"/>
        <rFont val="Yu Gothic"/>
        <family val="0"/>
        <charset val="1"/>
      </rPr>
      <t xml:space="preserve">λ(/hr)</t>
    </r>
  </si>
  <si>
    <r>
      <rPr>
        <b val="true"/>
        <sz val="10"/>
        <rFont val="WenQuanYi Zen Hei"/>
        <family val="2"/>
      </rPr>
      <t xml:space="preserve">点検周期</t>
    </r>
    <r>
      <rPr>
        <b val="true"/>
        <sz val="10"/>
        <rFont val="Yu Gothic"/>
        <family val="0"/>
        <charset val="1"/>
      </rPr>
      <t xml:space="preserve">T(h)</t>
    </r>
  </si>
  <si>
    <r>
      <rPr>
        <b val="true"/>
        <sz val="10"/>
        <rFont val="WenQuanYi Zen Hei"/>
        <family val="2"/>
      </rPr>
      <t xml:space="preserve">デマンド確率</t>
    </r>
    <r>
      <rPr>
        <b val="true"/>
        <sz val="10"/>
        <rFont val="Yu Gothic"/>
        <family val="0"/>
        <charset val="1"/>
      </rPr>
      <t xml:space="preserve">(/d)</t>
    </r>
  </si>
  <si>
    <r>
      <rPr>
        <b val="true"/>
        <sz val="10"/>
        <rFont val="WenQuanYi Zen Hei"/>
        <family val="2"/>
      </rPr>
      <t xml:space="preserve">検算 </t>
    </r>
    <r>
      <rPr>
        <b val="true"/>
        <sz val="10"/>
        <rFont val="Yu Gothic"/>
        <family val="0"/>
        <charset val="1"/>
      </rPr>
      <t xml:space="preserve">λ×T÷2</t>
    </r>
  </si>
  <si>
    <t xml:space="preserve">出典</t>
  </si>
  <si>
    <t xml:space="preserve">備考</t>
  </si>
  <si>
    <t xml:space="preserve">コモン事象</t>
  </si>
  <si>
    <r>
      <rPr>
        <sz val="10"/>
        <rFont val="Yu Gothic"/>
        <family val="0"/>
        <charset val="1"/>
      </rPr>
      <t xml:space="preserve">DCS</t>
    </r>
    <r>
      <rPr>
        <sz val="10"/>
        <rFont val="WenQuanYi Zen Hei"/>
        <family val="2"/>
      </rPr>
      <t xml:space="preserve">／故障</t>
    </r>
  </si>
  <si>
    <t xml:space="preserve">DCS</t>
  </si>
  <si>
    <t xml:space="preserve">故障</t>
  </si>
  <si>
    <r>
      <rPr>
        <sz val="9"/>
        <color rgb="FF595959"/>
        <rFont val="Yu Gothic"/>
        <family val="0"/>
        <charset val="1"/>
      </rPr>
      <t xml:space="preserve">project.pha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Yu Gothic"/>
        <family val="0"/>
        <charset val="1"/>
      </rPr>
      <t xml:space="preserve">PHA_Organizer 3.1.1</t>
    </r>
    <r>
      <rPr>
        <sz val="9"/>
        <color rgb="FF595959"/>
        <rFont val="WenQuanYi Zen Hei"/>
        <family val="2"/>
      </rPr>
      <t xml:space="preserve">）設定値を抽出 </t>
    </r>
    <r>
      <rPr>
        <sz val="9"/>
        <color rgb="FF595959"/>
        <rFont val="Yu Gothic"/>
        <family val="0"/>
        <charset val="1"/>
      </rPr>
      <t xml:space="preserve">2026-07-21</t>
    </r>
  </si>
  <si>
    <r>
      <rPr>
        <sz val="9"/>
        <color rgb="FF595959"/>
        <rFont val="Yu Gothic"/>
        <family val="0"/>
        <charset val="1"/>
      </rPr>
      <t xml:space="preserve">DCS</t>
    </r>
    <r>
      <rPr>
        <sz val="9"/>
        <color rgb="FF595959"/>
        <rFont val="WenQuanYi Zen Hei"/>
        <family val="2"/>
      </rPr>
      <t xml:space="preserve">は各制御ループ・検出システムに共通で入る（コモン事象）</t>
    </r>
  </si>
  <si>
    <t xml:space="preserve">検出端</t>
  </si>
  <si>
    <t xml:space="preserve">温度計／故障</t>
  </si>
  <si>
    <t xml:space="preserve">温度計</t>
  </si>
  <si>
    <r>
      <rPr>
        <sz val="9"/>
        <color rgb="FF595959"/>
        <rFont val="WenQuanYi Zen Hei"/>
        <family val="2"/>
      </rPr>
      <t xml:space="preserve">月</t>
    </r>
    <r>
      <rPr>
        <sz val="9"/>
        <color rgb="FF595959"/>
        <rFont val="Yu Gothic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回点検（</t>
    </r>
    <r>
      <rPr>
        <sz val="9"/>
        <color rgb="FF595959"/>
        <rFont val="Yu Gothic"/>
        <family val="0"/>
        <charset val="1"/>
      </rPr>
      <t xml:space="preserve">T=720h</t>
    </r>
    <r>
      <rPr>
        <sz val="9"/>
        <color rgb="FF595959"/>
        <rFont val="WenQuanYi Zen Hei"/>
        <family val="2"/>
      </rPr>
      <t xml:space="preserve">）の待機系換算</t>
    </r>
  </si>
  <si>
    <t xml:space="preserve">流量計／故障</t>
  </si>
  <si>
    <t xml:space="preserve">流量計</t>
  </si>
  <si>
    <t xml:space="preserve">液面計／故障</t>
  </si>
  <si>
    <t xml:space="preserve">液面計</t>
  </si>
  <si>
    <t xml:space="preserve">圧力計／故障</t>
  </si>
  <si>
    <t xml:space="preserve">圧力計</t>
  </si>
  <si>
    <t xml:space="preserve">分析計／故障</t>
  </si>
  <si>
    <t xml:space="preserve">分析計</t>
  </si>
  <si>
    <t xml:space="preserve">警報</t>
  </si>
  <si>
    <t xml:space="preserve">アラーム／故障</t>
  </si>
  <si>
    <t xml:space="preserve">アラーム</t>
  </si>
  <si>
    <t xml:space="preserve">ロジック</t>
  </si>
  <si>
    <t xml:space="preserve">リレー回路／故障</t>
  </si>
  <si>
    <t xml:space="preserve">リレー回路</t>
  </si>
  <si>
    <t xml:space="preserve">インターロックの論理回路</t>
  </si>
  <si>
    <t xml:space="preserve">操作端</t>
  </si>
  <si>
    <t xml:space="preserve">空気調整弁／故障</t>
  </si>
  <si>
    <t xml:space="preserve">空気調整弁</t>
  </si>
  <si>
    <t xml:space="preserve">制御弁・遮断弁の駆動部</t>
  </si>
  <si>
    <t xml:space="preserve">電磁弁／故障</t>
  </si>
  <si>
    <t xml:space="preserve">電磁弁</t>
  </si>
  <si>
    <t xml:space="preserve">機械</t>
  </si>
  <si>
    <t xml:space="preserve">ポンプ／故障</t>
  </si>
  <si>
    <t xml:space="preserve">ポンプ</t>
  </si>
  <si>
    <t xml:space="preserve">コンプレッサー／故障</t>
  </si>
  <si>
    <t xml:space="preserve">コンプレッサー</t>
  </si>
  <si>
    <r>
      <rPr>
        <sz val="9"/>
        <color rgb="FF595959"/>
        <rFont val="WenQuanYi Zen Hei"/>
        <family val="2"/>
      </rPr>
      <t xml:space="preserve">デマンド確率は未設定（</t>
    </r>
    <r>
      <rPr>
        <sz val="9"/>
        <color rgb="FF595959"/>
        <rFont val="Yu Gothic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）</t>
    </r>
  </si>
  <si>
    <t xml:space="preserve">チェッキ弁／故障</t>
  </si>
  <si>
    <t xml:space="preserve">チェッキ弁</t>
  </si>
  <si>
    <t xml:space="preserve">安全弁／故障</t>
  </si>
  <si>
    <t xml:space="preserve">ヒューマンエラー</t>
  </si>
  <si>
    <t xml:space="preserve">ヒューマンエラー／アラームに気づかない</t>
  </si>
  <si>
    <t xml:space="preserve">アラームに気づかない</t>
  </si>
  <si>
    <r>
      <rPr>
        <sz val="10"/>
        <rFont val="WenQuanYi Zen Hei"/>
        <family val="2"/>
      </rPr>
      <t xml:space="preserve">ヒューマンエラー／発見したが対処できない（時間余裕</t>
    </r>
    <r>
      <rPr>
        <sz val="10"/>
        <rFont val="Yu Gothic"/>
        <family val="0"/>
        <charset val="1"/>
      </rPr>
      <t xml:space="preserve">10</t>
    </r>
    <r>
      <rPr>
        <sz val="10"/>
        <rFont val="WenQuanYi Zen Hei"/>
        <family val="2"/>
      </rPr>
      <t xml:space="preserve">分）</t>
    </r>
  </si>
  <si>
    <r>
      <rPr>
        <sz val="10"/>
        <rFont val="WenQuanYi Zen Hei"/>
        <family val="2"/>
      </rPr>
      <t xml:space="preserve">発見したが対処できない（時間余裕</t>
    </r>
    <r>
      <rPr>
        <sz val="10"/>
        <rFont val="Yu Gothic"/>
        <family val="0"/>
        <charset val="1"/>
      </rPr>
      <t xml:space="preserve">10</t>
    </r>
    <r>
      <rPr>
        <sz val="10"/>
        <rFont val="WenQuanYi Zen Hei"/>
        <family val="2"/>
      </rPr>
      <t xml:space="preserve">分）</t>
    </r>
  </si>
  <si>
    <r>
      <rPr>
        <sz val="10"/>
        <rFont val="WenQuanYi Zen Hei"/>
        <family val="2"/>
      </rPr>
      <t xml:space="preserve">ヒューマンエラー／発見したが対処できない（時間余裕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時間）</t>
    </r>
  </si>
  <si>
    <r>
      <rPr>
        <sz val="10"/>
        <rFont val="WenQuanYi Zen Hei"/>
        <family val="2"/>
      </rPr>
      <t xml:space="preserve">発見したが対処できない（時間余裕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時間）</t>
    </r>
  </si>
  <si>
    <r>
      <rPr>
        <sz val="10"/>
        <rFont val="WenQuanYi Zen Hei"/>
        <family val="2"/>
      </rPr>
      <t xml:space="preserve">ヒューマンエラー／発見したが対処できない（時間余裕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日）</t>
    </r>
  </si>
  <si>
    <r>
      <rPr>
        <sz val="10"/>
        <rFont val="WenQuanYi Zen Hei"/>
        <family val="2"/>
      </rPr>
      <t xml:space="preserve">発見したが対処できない（時間余裕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日）</t>
    </r>
  </si>
  <si>
    <r>
      <rPr>
        <sz val="9"/>
        <color rgb="FF595959"/>
        <rFont val="WenQuanYi Zen Hei"/>
        <family val="2"/>
      </rPr>
      <t xml:space="preserve">（黄色の行は追記用。</t>
    </r>
    <r>
      <rPr>
        <sz val="9"/>
        <color rgb="FF595959"/>
        <rFont val="Yu Gothic"/>
        <family val="0"/>
        <charset val="1"/>
      </rPr>
      <t xml:space="preserve">λ</t>
    </r>
    <r>
      <rPr>
        <sz val="9"/>
        <color rgb="FF595959"/>
        <rFont val="WenQuanYi Zen Hei"/>
        <family val="2"/>
      </rPr>
      <t xml:space="preserve">と</t>
    </r>
    <r>
      <rPr>
        <sz val="9"/>
        <color rgb="FF595959"/>
        <rFont val="Yu Gothic"/>
        <family val="0"/>
        <charset val="1"/>
      </rPr>
      <t xml:space="preserve">T</t>
    </r>
    <r>
      <rPr>
        <sz val="9"/>
        <color rgb="FF595959"/>
        <rFont val="WenQuanYi Zen Hei"/>
        <family val="2"/>
      </rPr>
      <t xml:space="preserve">を入れれば検算列でデマンド確率の目安を作れる）</t>
    </r>
  </si>
  <si>
    <t xml:space="preserve">シナリオ計算（シミュレーター）</t>
  </si>
  <si>
    <r>
      <rPr>
        <sz val="9"/>
        <color rgb="FF595959"/>
        <rFont val="WenQuanYi Zen Hei"/>
        <family val="2"/>
      </rPr>
      <t xml:space="preserve">黄色セルだけ触る。初期値には例題（</t>
    </r>
    <r>
      <rPr>
        <sz val="9"/>
        <color rgb="FF595959"/>
        <rFont val="Yu Gothic"/>
        <family val="0"/>
        <charset val="1"/>
      </rPr>
      <t xml:space="preserve">FC12</t>
    </r>
    <r>
      <rPr>
        <sz val="9"/>
        <color rgb="FF595959"/>
        <rFont val="WenQuanYi Zen Hei"/>
        <family val="2"/>
      </rPr>
      <t xml:space="preserve">開度過少、</t>
    </r>
    <r>
      <rPr>
        <sz val="9"/>
        <color rgb="FF595959"/>
        <rFont val="Yu Gothic"/>
        <family val="0"/>
        <charset val="1"/>
      </rPr>
      <t xml:space="preserve">V-1204</t>
    </r>
    <r>
      <rPr>
        <sz val="9"/>
        <color rgb="FF595959"/>
        <rFont val="WenQuanYi Zen Hei"/>
        <family val="2"/>
      </rPr>
      <t xml:space="preserve">レベル上昇）を入れてある。</t>
    </r>
  </si>
  <si>
    <r>
      <rPr>
        <b val="true"/>
        <sz val="11"/>
        <rFont val="Yu Gothic"/>
        <family val="0"/>
        <charset val="1"/>
      </rPr>
      <t xml:space="preserve">STEP0 </t>
    </r>
    <r>
      <rPr>
        <b val="true"/>
        <sz val="11"/>
        <rFont val="WenQuanYi Zen Hei"/>
        <family val="2"/>
      </rPr>
      <t xml:space="preserve">前提</t>
    </r>
  </si>
  <si>
    <r>
      <rPr>
        <sz val="10"/>
        <rFont val="WenQuanYi Zen Hei"/>
        <family val="2"/>
      </rPr>
      <t xml:space="preserve">年間稼働時間 </t>
    </r>
    <r>
      <rPr>
        <sz val="10"/>
        <rFont val="Yu Gothic"/>
        <family val="0"/>
        <charset val="1"/>
      </rPr>
      <t xml:space="preserve">H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h/</t>
    </r>
    <r>
      <rPr>
        <sz val="10"/>
        <rFont val="WenQuanYi Zen Hei"/>
        <family val="2"/>
      </rPr>
      <t xml:space="preserve">年）</t>
    </r>
  </si>
  <si>
    <r>
      <rPr>
        <sz val="9"/>
        <color rgb="FF595959"/>
        <rFont val="WenQuanYi Zen Hei"/>
        <family val="2"/>
      </rPr>
      <t xml:space="preserve">通年連続運転なら</t>
    </r>
    <r>
      <rPr>
        <sz val="9"/>
        <color rgb="FF595959"/>
        <rFont val="Yu Gothic"/>
        <family val="0"/>
        <charset val="1"/>
      </rPr>
      <t xml:space="preserve">8760</t>
    </r>
    <r>
      <rPr>
        <sz val="9"/>
        <color rgb="FF595959"/>
        <rFont val="WenQuanYi Zen Hei"/>
        <family val="2"/>
      </rPr>
      <t xml:space="preserve">。定修等を除くなら実稼働時間に変更。</t>
    </r>
  </si>
  <si>
    <r>
      <rPr>
        <b val="true"/>
        <sz val="11"/>
        <rFont val="Yu Gothic"/>
        <family val="0"/>
        <charset val="1"/>
      </rPr>
      <t xml:space="preserve">STEP1 </t>
    </r>
    <r>
      <rPr>
        <b val="true"/>
        <sz val="11"/>
        <rFont val="WenQuanYi Zen Hei"/>
        <family val="2"/>
      </rPr>
      <t xml:space="preserve">起因事象（機器の故障）――この中は</t>
    </r>
    <r>
      <rPr>
        <b val="true"/>
        <sz val="11"/>
        <rFont val="Yu Gothic"/>
        <family val="0"/>
        <charset val="1"/>
      </rPr>
      <t xml:space="preserve">OR</t>
    </r>
    <r>
      <rPr>
        <b val="true"/>
        <sz val="11"/>
        <rFont val="WenQuanYi Zen Hei"/>
        <family val="2"/>
      </rPr>
      <t xml:space="preserve">（どれか</t>
    </r>
    <r>
      <rPr>
        <b val="true"/>
        <sz val="11"/>
        <rFont val="Yu Gothic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つ壊れれば起因事象）＝</t>
    </r>
    <r>
      <rPr>
        <b val="true"/>
        <sz val="11"/>
        <rFont val="Yu Gothic"/>
        <family val="0"/>
        <charset val="1"/>
      </rPr>
      <t xml:space="preserve">λ</t>
    </r>
    <r>
      <rPr>
        <b val="true"/>
        <sz val="11"/>
        <rFont val="WenQuanYi Zen Hei"/>
        <family val="2"/>
      </rPr>
      <t xml:space="preserve">は足し算</t>
    </r>
  </si>
  <si>
    <t xml:space="preserve">構成要素（ドロップダウンで選択）</t>
  </si>
  <si>
    <t xml:space="preserve">λ(/hr)</t>
  </si>
  <si>
    <t xml:space="preserve">メモ</t>
  </si>
  <si>
    <r>
      <rPr>
        <sz val="10"/>
        <color rgb="FF0000FF"/>
        <rFont val="Yu Gothic"/>
        <family val="0"/>
        <charset val="1"/>
      </rPr>
      <t xml:space="preserve">FC12</t>
    </r>
    <r>
      <rPr>
        <sz val="10"/>
        <color rgb="FF0000FF"/>
        <rFont val="WenQuanYi Zen Hei"/>
        <family val="2"/>
      </rPr>
      <t xml:space="preserve">制御ループの検出器</t>
    </r>
  </si>
  <si>
    <r>
      <rPr>
        <sz val="10"/>
        <color rgb="FF0000FF"/>
        <rFont val="Yu Gothic"/>
        <family val="0"/>
        <charset val="1"/>
      </rPr>
      <t xml:space="preserve">DCS</t>
    </r>
    <r>
      <rPr>
        <sz val="10"/>
        <color rgb="FF0000FF"/>
        <rFont val="WenQuanYi Zen Hei"/>
        <family val="2"/>
      </rPr>
      <t xml:space="preserve">／故障</t>
    </r>
  </si>
  <si>
    <r>
      <rPr>
        <sz val="10"/>
        <color rgb="FF0000FF"/>
        <rFont val="WenQuanYi Zen Hei"/>
        <family val="2"/>
      </rPr>
      <t xml:space="preserve">同ループの</t>
    </r>
    <r>
      <rPr>
        <sz val="10"/>
        <color rgb="FF0000FF"/>
        <rFont val="Yu Gothic"/>
        <family val="0"/>
        <charset val="1"/>
      </rPr>
      <t xml:space="preserve">DCS</t>
    </r>
  </si>
  <si>
    <t xml:space="preserve">同ループの操作端</t>
  </si>
  <si>
    <r>
      <rPr>
        <b val="true"/>
        <sz val="10"/>
        <rFont val="Yu Gothic"/>
        <family val="0"/>
        <charset val="1"/>
      </rPr>
      <t xml:space="preserve">λ</t>
    </r>
    <r>
      <rPr>
        <b val="true"/>
        <sz val="10"/>
        <rFont val="WenQuanYi Zen Hei"/>
        <family val="2"/>
      </rPr>
      <t xml:space="preserve">合計（</t>
    </r>
    <r>
      <rPr>
        <b val="true"/>
        <sz val="10"/>
        <rFont val="Yu Gothic"/>
        <family val="0"/>
        <charset val="1"/>
      </rPr>
      <t xml:space="preserve">/hr</t>
    </r>
    <r>
      <rPr>
        <b val="true"/>
        <sz val="10"/>
        <rFont val="WenQuanYi Zen Hei"/>
        <family val="2"/>
      </rPr>
      <t xml:space="preserve">）＝</t>
    </r>
    <r>
      <rPr>
        <b val="true"/>
        <sz val="10"/>
        <rFont val="Yu Gothic"/>
        <family val="0"/>
        <charset val="1"/>
      </rPr>
      <t xml:space="preserve">OR</t>
    </r>
    <r>
      <rPr>
        <b val="true"/>
        <sz val="10"/>
        <rFont val="WenQuanYi Zen Hei"/>
        <family val="2"/>
      </rPr>
      <t xml:space="preserve">＝和</t>
    </r>
  </si>
  <si>
    <r>
      <rPr>
        <b val="true"/>
        <sz val="10"/>
        <rFont val="WenQuanYi Zen Hei"/>
        <family val="2"/>
      </rPr>
      <t xml:space="preserve">起因事象頻度 </t>
    </r>
    <r>
      <rPr>
        <b val="true"/>
        <sz val="10"/>
        <rFont val="Yu Gothic"/>
        <family val="0"/>
        <charset val="1"/>
      </rPr>
      <t xml:space="preserve">F0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Yu Gothic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年）</t>
    </r>
  </si>
  <si>
    <r>
      <rPr>
        <b val="true"/>
        <sz val="11"/>
        <rFont val="Yu Gothic"/>
        <family val="0"/>
        <charset val="1"/>
      </rPr>
      <t xml:space="preserve">STEP2 </t>
    </r>
    <r>
      <rPr>
        <b val="true"/>
        <sz val="11"/>
        <rFont val="WenQuanYi Zen Hei"/>
        <family val="2"/>
      </rPr>
      <t xml:space="preserve">安全防護層――層と層の間は</t>
    </r>
    <r>
      <rPr>
        <b val="true"/>
        <sz val="11"/>
        <rFont val="Yu Gothic"/>
        <family val="0"/>
        <charset val="1"/>
      </rPr>
      <t xml:space="preserve">AND</t>
    </r>
    <r>
      <rPr>
        <b val="true"/>
        <sz val="11"/>
        <rFont val="WenQuanYi Zen Hei"/>
        <family val="2"/>
      </rPr>
      <t xml:space="preserve">（全部失敗して初めて最終事象）＝掛け算</t>
    </r>
  </si>
  <si>
    <r>
      <rPr>
        <sz val="9"/>
        <color rgb="FF595959"/>
        <rFont val="WenQuanYi Zen Hei"/>
        <family val="2"/>
      </rPr>
      <t xml:space="preserve">層の中はゲートで選ぶ。</t>
    </r>
    <r>
      <rPr>
        <sz val="9"/>
        <color rgb="FF595959"/>
        <rFont val="Yu Gothic"/>
        <family val="0"/>
        <charset val="1"/>
      </rPr>
      <t xml:space="preserve">OR</t>
    </r>
    <r>
      <rPr>
        <sz val="9"/>
        <color rgb="FF595959"/>
        <rFont val="WenQuanYi Zen Hei"/>
        <family val="2"/>
      </rPr>
      <t xml:space="preserve">（既定）＝どれか</t>
    </r>
    <r>
      <rPr>
        <sz val="9"/>
        <color rgb="FF595959"/>
        <rFont val="Yu Gothic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つの失敗で層が破られる（和）。</t>
    </r>
    <r>
      <rPr>
        <sz val="9"/>
        <color rgb="FF595959"/>
        <rFont val="Yu Gothic"/>
        <family val="0"/>
        <charset val="1"/>
      </rPr>
      <t xml:space="preserve">AND</t>
    </r>
    <r>
      <rPr>
        <sz val="9"/>
        <color rgb="FF595959"/>
        <rFont val="WenQuanYi Zen Hei"/>
        <family val="2"/>
      </rPr>
      <t xml:space="preserve">＝全部失敗で破られる（冗長系。積）。手入力</t>
    </r>
    <r>
      <rPr>
        <sz val="9"/>
        <color rgb="FF595959"/>
        <rFont val="Yu Gothic"/>
        <family val="0"/>
        <charset val="1"/>
      </rPr>
      <t xml:space="preserve">PFD</t>
    </r>
    <r>
      <rPr>
        <sz val="9"/>
        <color rgb="FF595959"/>
        <rFont val="WenQuanYi Zen Hei"/>
        <family val="2"/>
      </rPr>
      <t xml:space="preserve">に値を入れるとそちらを優先。「有効」を</t>
    </r>
    <r>
      <rPr>
        <sz val="9"/>
        <color rgb="FF595959"/>
        <rFont val="Yu Gothic"/>
        <family val="0"/>
        <charset val="1"/>
      </rPr>
      <t xml:space="preserve">0</t>
    </r>
    <r>
      <rPr>
        <sz val="9"/>
        <color rgb="FF595959"/>
        <rFont val="WenQuanYi Zen Hei"/>
        <family val="2"/>
      </rPr>
      <t xml:space="preserve">にするとその層なし（未設置）として計算。</t>
    </r>
  </si>
  <si>
    <t xml:space="preserve">層</t>
  </si>
  <si>
    <t xml:space="preserve">層の名称</t>
  </si>
  <si>
    <r>
      <rPr>
        <b val="true"/>
        <sz val="10"/>
        <rFont val="WenQuanYi Zen Hei"/>
        <family val="2"/>
      </rPr>
      <t xml:space="preserve">構成要素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</si>
  <si>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構成要素</t>
    </r>
    <r>
      <rPr>
        <b val="true"/>
        <sz val="10"/>
        <rFont val="Yu Gothic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</si>
  <si>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構成要素</t>
    </r>
    <r>
      <rPr>
        <b val="true"/>
        <sz val="10"/>
        <rFont val="Yu Gothic"/>
        <family val="0"/>
        <charset val="1"/>
      </rPr>
      <t xml:space="preserve">3</t>
    </r>
  </si>
  <si>
    <r>
      <rPr>
        <b val="true"/>
        <sz val="10"/>
        <rFont val="WenQuanYi Zen Hei"/>
        <family val="2"/>
      </rPr>
      <t xml:space="preserve">構成要素</t>
    </r>
    <r>
      <rPr>
        <b val="true"/>
        <sz val="10"/>
        <rFont val="Yu Gothic"/>
        <family val="0"/>
        <charset val="1"/>
      </rPr>
      <t xml:space="preserve">4</t>
    </r>
  </si>
  <si>
    <r>
      <rPr>
        <b val="true"/>
        <sz val="10"/>
        <rFont val="WenQuanYi Zen Hei"/>
        <family val="2"/>
      </rPr>
      <t xml:space="preserve">構成要素</t>
    </r>
    <r>
      <rPr>
        <b val="true"/>
        <sz val="10"/>
        <rFont val="Yu Gothic"/>
        <family val="0"/>
        <charset val="1"/>
      </rPr>
      <t xml:space="preserve">5</t>
    </r>
  </si>
  <si>
    <r>
      <rPr>
        <b val="true"/>
        <sz val="10"/>
        <rFont val="WenQuanYi Zen Hei"/>
        <family val="2"/>
      </rPr>
      <t xml:space="preserve">構成要素</t>
    </r>
    <r>
      <rPr>
        <b val="true"/>
        <sz val="10"/>
        <rFont val="Yu Gothic"/>
        <family val="0"/>
        <charset val="1"/>
      </rPr>
      <t xml:space="preserve">6</t>
    </r>
  </si>
  <si>
    <t xml:space="preserve">PFD1</t>
  </si>
  <si>
    <t xml:space="preserve">PFD2</t>
  </si>
  <si>
    <t xml:space="preserve">PFD3</t>
  </si>
  <si>
    <t xml:space="preserve">PFD4</t>
  </si>
  <si>
    <t xml:space="preserve">PFD5</t>
  </si>
  <si>
    <t xml:space="preserve">PFD6</t>
  </si>
  <si>
    <t xml:space="preserve">ゲート</t>
  </si>
  <si>
    <r>
      <rPr>
        <b val="true"/>
        <sz val="10"/>
        <rFont val="WenQuanYi Zen Hei"/>
        <family val="2"/>
      </rPr>
      <t xml:space="preserve">層</t>
    </r>
    <r>
      <rPr>
        <b val="true"/>
        <sz val="10"/>
        <rFont val="Yu Gothic"/>
        <family val="0"/>
        <charset val="1"/>
      </rPr>
      <t xml:space="preserve">PFD(</t>
    </r>
    <r>
      <rPr>
        <b val="true"/>
        <sz val="10"/>
        <rFont val="WenQuanYi Zen Hei"/>
        <family val="2"/>
      </rPr>
      <t xml:space="preserve">自動</t>
    </r>
    <r>
      <rPr>
        <b val="true"/>
        <sz val="10"/>
        <rFont val="Yu Gothic"/>
        <family val="0"/>
        <charset val="1"/>
      </rPr>
      <t xml:space="preserve">)</t>
    </r>
  </si>
  <si>
    <r>
      <rPr>
        <b val="true"/>
        <sz val="10"/>
        <rFont val="WenQuanYi Zen Hei"/>
        <family val="2"/>
      </rPr>
      <t xml:space="preserve">手入力</t>
    </r>
    <r>
      <rPr>
        <b val="true"/>
        <sz val="10"/>
        <rFont val="Yu Gothic"/>
        <family val="0"/>
        <charset val="1"/>
      </rPr>
      <t xml:space="preserve">PFD</t>
    </r>
  </si>
  <si>
    <t xml:space="preserve">有効</t>
  </si>
  <si>
    <r>
      <rPr>
        <b val="true"/>
        <sz val="10"/>
        <rFont val="WenQuanYi Zen Hei"/>
        <family val="2"/>
      </rPr>
      <t xml:space="preserve">採用</t>
    </r>
    <r>
      <rPr>
        <b val="true"/>
        <sz val="10"/>
        <rFont val="Yu Gothic"/>
        <family val="0"/>
        <charset val="1"/>
      </rPr>
      <t xml:space="preserve">PFD</t>
    </r>
  </si>
  <si>
    <r>
      <rPr>
        <b val="true"/>
        <sz val="10"/>
        <rFont val="WenQuanYi Zen Hei"/>
        <family val="2"/>
      </rPr>
      <t xml:space="preserve">低減倍率</t>
    </r>
    <r>
      <rPr>
        <b val="true"/>
        <sz val="10"/>
        <rFont val="Yu Gothic"/>
        <family val="0"/>
        <charset val="1"/>
      </rPr>
      <t xml:space="preserve">(1/PFD)</t>
    </r>
  </si>
  <si>
    <t xml:space="preserve">この層まで全て失敗した頻度</t>
  </si>
  <si>
    <r>
      <rPr>
        <sz val="10"/>
        <color rgb="FF0000FF"/>
        <rFont val="Yu Gothic"/>
        <family val="0"/>
        <charset val="1"/>
      </rPr>
      <t xml:space="preserve">LK</t>
    </r>
    <r>
      <rPr>
        <sz val="10"/>
        <color rgb="FF0000FF"/>
        <rFont val="WenQuanYi Zen Hei"/>
        <family val="2"/>
      </rPr>
      <t xml:space="preserve">液面検出で運転員が対処（時間余裕</t>
    </r>
    <r>
      <rPr>
        <sz val="10"/>
        <color rgb="FF0000FF"/>
        <rFont val="Yu Gothic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分）</t>
    </r>
  </si>
  <si>
    <r>
      <rPr>
        <sz val="10"/>
        <color rgb="FF0000FF"/>
        <rFont val="WenQuanYi Zen Hei"/>
        <family val="2"/>
      </rPr>
      <t xml:space="preserve">ヒューマンエラー／発見したが対処できない（時間余裕</t>
    </r>
    <r>
      <rPr>
        <sz val="10"/>
        <color rgb="FF0000FF"/>
        <rFont val="Yu Gothic"/>
        <family val="0"/>
        <charset val="1"/>
      </rPr>
      <t xml:space="preserve">10</t>
    </r>
    <r>
      <rPr>
        <sz val="10"/>
        <color rgb="FF0000FF"/>
        <rFont val="WenQuanYi Zen Hei"/>
        <family val="2"/>
      </rPr>
      <t xml:space="preserve">分）</t>
    </r>
  </si>
  <si>
    <t xml:space="preserve">OR</t>
  </si>
  <si>
    <r>
      <rPr>
        <sz val="10"/>
        <color rgb="FF0000FF"/>
        <rFont val="Yu Gothic"/>
        <family val="0"/>
        <charset val="1"/>
      </rPr>
      <t xml:space="preserve">OSS</t>
    </r>
    <r>
      <rPr>
        <sz val="10"/>
        <color rgb="FF0000FF"/>
        <rFont val="WenQuanYi Zen Hei"/>
        <family val="2"/>
      </rPr>
      <t xml:space="preserve">（圧力検出で自動遮断）</t>
    </r>
  </si>
  <si>
    <r>
      <rPr>
        <b val="true"/>
        <sz val="11"/>
        <rFont val="Yu Gothic"/>
        <family val="0"/>
        <charset val="1"/>
      </rPr>
      <t xml:space="preserve">STEP3 </t>
    </r>
    <r>
      <rPr>
        <b val="true"/>
        <sz val="11"/>
        <rFont val="WenQuanYi Zen Hei"/>
        <family val="2"/>
      </rPr>
      <t xml:space="preserve">結果</t>
    </r>
  </si>
  <si>
    <r>
      <rPr>
        <b val="true"/>
        <sz val="10"/>
        <rFont val="WenQuanYi Zen Hei"/>
        <family val="2"/>
      </rPr>
      <t xml:space="preserve">最終事象の頻度（</t>
    </r>
    <r>
      <rPr>
        <b val="true"/>
        <sz val="10"/>
        <rFont val="Yu Gothic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年）</t>
    </r>
  </si>
  <si>
    <r>
      <rPr>
        <b val="true"/>
        <sz val="10"/>
        <rFont val="WenQuanYi Zen Hei"/>
        <family val="2"/>
      </rPr>
      <t xml:space="preserve">最終事象の頻度（</t>
    </r>
    <r>
      <rPr>
        <b val="true"/>
        <sz val="10"/>
        <rFont val="Yu Gothic"/>
        <family val="0"/>
        <charset val="1"/>
      </rPr>
      <t xml:space="preserve">/hr</t>
    </r>
    <r>
      <rPr>
        <b val="true"/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</si>
  <si>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判定ベース（</t>
    </r>
    <r>
      <rPr>
        <sz val="10"/>
        <rFont val="Yu Gothic"/>
        <family val="0"/>
        <charset val="1"/>
      </rPr>
      <t xml:space="preserve">/hr </t>
    </r>
    <r>
      <rPr>
        <sz val="10"/>
        <rFont val="WenQuanYi Zen Hei"/>
        <family val="2"/>
      </rPr>
      <t xml:space="preserve">か </t>
    </r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年 を選択）</t>
    </r>
  </si>
  <si>
    <t xml:space="preserve">/hr</t>
  </si>
  <si>
    <r>
      <rPr>
        <sz val="9"/>
        <color rgb="FF595959"/>
        <rFont val="Yu Gothic"/>
        <family val="0"/>
        <charset val="1"/>
      </rPr>
      <t xml:space="preserve">PHA_Organizer</t>
    </r>
    <r>
      <rPr>
        <sz val="9"/>
        <color rgb="FF595959"/>
        <rFont val="WenQuanYi Zen Hei"/>
        <family val="2"/>
      </rPr>
      <t xml:space="preserve">の計算値は</t>
    </r>
    <r>
      <rPr>
        <sz val="9"/>
        <color rgb="FF595959"/>
        <rFont val="Yu Gothic"/>
        <family val="0"/>
        <charset val="1"/>
      </rPr>
      <t xml:space="preserve">/hr</t>
    </r>
    <r>
      <rPr>
        <sz val="9"/>
        <color rgb="FF595959"/>
        <rFont val="WenQuanYi Zen Hei"/>
        <family val="2"/>
      </rPr>
      <t xml:space="preserve">。リスクマトリックスのしきい値もこのベースで引く。</t>
    </r>
  </si>
  <si>
    <t xml:space="preserve">判定に使う値</t>
  </si>
  <si>
    <t xml:space="preserve">頻度レベル（しきい値は要確認）</t>
  </si>
  <si>
    <r>
      <rPr>
        <sz val="9"/>
        <color rgb="FF595959"/>
        <rFont val="WenQuanYi Zen Hei"/>
        <family val="2"/>
      </rPr>
      <t xml:space="preserve">しきい値はリスクマトリックスシートの黄色セル。</t>
    </r>
    <r>
      <rPr>
        <sz val="9"/>
        <color rgb="FF595959"/>
        <rFont val="Yu Gothic"/>
        <family val="0"/>
        <charset val="1"/>
      </rPr>
      <t xml:space="preserve">C-2-3</t>
    </r>
    <r>
      <rPr>
        <sz val="9"/>
        <color rgb="FF595959"/>
        <rFont val="WenQuanYi Zen Hei"/>
        <family val="2"/>
      </rPr>
      <t xml:space="preserve">の正式値に差し替えてから判定を使うこと。</t>
    </r>
  </si>
  <si>
    <r>
      <rPr>
        <sz val="10"/>
        <rFont val="WenQuanYi Zen Hei"/>
        <family val="2"/>
      </rPr>
      <t xml:space="preserve">影響度レベル（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〜</t>
    </r>
    <r>
      <rPr>
        <sz val="10"/>
        <rFont val="Yu Gothic"/>
        <family val="0"/>
        <charset val="1"/>
      </rPr>
      <t xml:space="preserve">4</t>
    </r>
    <r>
      <rPr>
        <sz val="10"/>
        <rFont val="WenQuanYi Zen Hei"/>
        <family val="2"/>
      </rPr>
      <t xml:space="preserve">を入力）</t>
    </r>
  </si>
  <si>
    <t xml:space="preserve">リスクゾーン（参考・要確認）</t>
  </si>
  <si>
    <r>
      <rPr>
        <b val="true"/>
        <sz val="11"/>
        <rFont val="WenQuanYi Zen Hei"/>
        <family val="2"/>
      </rPr>
      <t xml:space="preserve">対策効果の比較（</t>
    </r>
    <r>
      <rPr>
        <b val="true"/>
        <sz val="11"/>
        <rFont val="Yu Gothic"/>
        <family val="0"/>
        <charset val="1"/>
      </rPr>
      <t xml:space="preserve">What-if</t>
    </r>
    <r>
      <rPr>
        <b val="true"/>
        <sz val="11"/>
        <rFont val="WenQuanYi Zen Hei"/>
        <family val="2"/>
      </rPr>
      <t xml:space="preserve">）</t>
    </r>
  </si>
  <si>
    <t xml:space="preserve">ベースケースの頻度（判定に使う値を書き留める）</t>
  </si>
  <si>
    <t xml:space="preserve">現状ケースの「判定に使う値」をここに数値でメモしてから層を変更すると、下で低減倍率が出る。</t>
  </si>
  <si>
    <r>
      <rPr>
        <sz val="10"/>
        <rFont val="WenQuanYi Zen Hei"/>
        <family val="2"/>
      </rPr>
      <t xml:space="preserve">低減倍率（ベース</t>
    </r>
    <r>
      <rPr>
        <sz val="10"/>
        <rFont val="Yu Gothic"/>
        <family val="0"/>
        <charset val="1"/>
      </rPr>
      <t xml:space="preserve">÷</t>
    </r>
    <r>
      <rPr>
        <sz val="10"/>
        <rFont val="WenQuanYi Zen Hei"/>
        <family val="2"/>
      </rPr>
      <t xml:space="preserve">現ケース）</t>
    </r>
  </si>
  <si>
    <r>
      <rPr>
        <b val="true"/>
        <sz val="14"/>
        <rFont val="WenQuanYi Zen Hei"/>
        <family val="2"/>
      </rPr>
      <t xml:space="preserve">例題</t>
    </r>
    <r>
      <rPr>
        <b val="true"/>
        <sz val="14"/>
        <rFont val="Yu Gothic"/>
        <family val="0"/>
        <charset val="1"/>
      </rPr>
      <t xml:space="preserve">: FC12</t>
    </r>
    <r>
      <rPr>
        <b val="true"/>
        <sz val="14"/>
        <rFont val="WenQuanYi Zen Hei"/>
        <family val="2"/>
      </rPr>
      <t xml:space="preserve">開度過少による</t>
    </r>
    <r>
      <rPr>
        <b val="true"/>
        <sz val="14"/>
        <rFont val="Yu Gothic"/>
        <family val="0"/>
        <charset val="1"/>
      </rPr>
      <t xml:space="preserve">V-1204</t>
    </r>
    <r>
      <rPr>
        <b val="true"/>
        <sz val="14"/>
        <rFont val="WenQuanYi Zen Hei"/>
        <family val="2"/>
      </rPr>
      <t xml:space="preserve">レベル上昇（アップロードされた</t>
    </r>
    <r>
      <rPr>
        <b val="true"/>
        <sz val="14"/>
        <rFont val="Yu Gothic"/>
        <family val="0"/>
        <charset val="1"/>
      </rPr>
      <t xml:space="preserve">project.pha</t>
    </r>
    <r>
      <rPr>
        <b val="true"/>
        <sz val="14"/>
        <rFont val="WenQuanYi Zen Hei"/>
        <family val="2"/>
      </rPr>
      <t xml:space="preserve">の再現）</t>
    </r>
  </si>
  <si>
    <r>
      <rPr>
        <b val="true"/>
        <sz val="11"/>
        <rFont val="WenQuanYi Zen Hei"/>
        <family val="2"/>
      </rPr>
      <t xml:space="preserve">シナリオ（</t>
    </r>
    <r>
      <rPr>
        <b val="true"/>
        <sz val="11"/>
        <rFont val="Yu Gothic"/>
        <family val="0"/>
        <charset val="1"/>
      </rPr>
      <t xml:space="preserve">What-if</t>
    </r>
    <r>
      <rPr>
        <b val="true"/>
        <sz val="11"/>
        <rFont val="WenQuanYi Zen Hei"/>
        <family val="2"/>
      </rPr>
      <t xml:space="preserve">）の流れ</t>
    </r>
  </si>
  <si>
    <r>
      <rPr>
        <sz val="10"/>
        <rFont val="Yu Gothic"/>
        <family val="0"/>
        <charset val="1"/>
      </rPr>
      <t xml:space="preserve">1. </t>
    </r>
    <r>
      <rPr>
        <sz val="10"/>
        <rFont val="WenQuanYi Zen Hei"/>
        <family val="2"/>
      </rPr>
      <t xml:space="preserve">起因事象</t>
    </r>
    <r>
      <rPr>
        <sz val="10"/>
        <rFont val="Yu Gothic"/>
        <family val="0"/>
        <charset val="1"/>
      </rPr>
      <t xml:space="preserve">: FC12 </t>
    </r>
    <r>
      <rPr>
        <sz val="10"/>
        <rFont val="WenQuanYi Zen Hei"/>
        <family val="2"/>
      </rPr>
      <t xml:space="preserve">開度過少（制御ループ故障）</t>
    </r>
  </si>
  <si>
    <r>
      <rPr>
        <sz val="10"/>
        <rFont val="Yu Gothic"/>
        <family val="0"/>
        <charset val="1"/>
      </rPr>
      <t xml:space="preserve">2. </t>
    </r>
    <r>
      <rPr>
        <sz val="10"/>
        <rFont val="WenQuanYi Zen Hei"/>
        <family val="2"/>
      </rPr>
      <t xml:space="preserve">フォーミングが進行して</t>
    </r>
    <r>
      <rPr>
        <sz val="10"/>
        <rFont val="Yu Gothic"/>
        <family val="0"/>
        <charset val="1"/>
      </rPr>
      <t xml:space="preserve">V-1204</t>
    </r>
    <r>
      <rPr>
        <sz val="10"/>
        <rFont val="WenQuanYi Zen Hei"/>
        <family val="2"/>
      </rPr>
      <t xml:space="preserve">のレベルが上がる</t>
    </r>
  </si>
  <si>
    <r>
      <rPr>
        <sz val="10"/>
        <rFont val="Yu Gothic"/>
        <family val="0"/>
        <charset val="1"/>
      </rPr>
      <t xml:space="preserve">3. LK</t>
    </r>
    <r>
      <rPr>
        <sz val="10"/>
        <rFont val="WenQuanYi Zen Hei"/>
        <family val="2"/>
      </rPr>
      <t xml:space="preserve">液面検出システムで検知し、運転員が回復動作（時間余裕</t>
    </r>
    <r>
      <rPr>
        <sz val="10"/>
        <rFont val="Yu Gothic"/>
        <family val="0"/>
        <charset val="1"/>
      </rPr>
      <t xml:space="preserve">10</t>
    </r>
    <r>
      <rPr>
        <sz val="10"/>
        <rFont val="WenQuanYi Zen Hei"/>
        <family val="2"/>
      </rPr>
      <t xml:space="preserve">分）</t>
    </r>
  </si>
  <si>
    <r>
      <rPr>
        <sz val="10"/>
        <rFont val="Yu Gothic"/>
        <family val="0"/>
        <charset val="1"/>
      </rPr>
      <t xml:space="preserve">4. </t>
    </r>
    <r>
      <rPr>
        <sz val="10"/>
        <rFont val="WenQuanYi Zen Hei"/>
        <family val="2"/>
      </rPr>
      <t xml:space="preserve">回復動作に失敗すると、さらにレベルが上がる</t>
    </r>
  </si>
  <si>
    <r>
      <rPr>
        <sz val="10"/>
        <rFont val="Yu Gothic"/>
        <family val="0"/>
        <charset val="1"/>
      </rPr>
      <t xml:space="preserve">5. OSS</t>
    </r>
    <r>
      <rPr>
        <sz val="10"/>
        <rFont val="WenQuanYi Zen Hei"/>
        <family val="2"/>
      </rPr>
      <t xml:space="preserve">が作動して自動停止する</t>
    </r>
  </si>
  <si>
    <r>
      <rPr>
        <sz val="10"/>
        <rFont val="Yu Gothic"/>
        <family val="0"/>
        <charset val="1"/>
      </rPr>
      <t xml:space="preserve">6. OSS</t>
    </r>
    <r>
      <rPr>
        <sz val="10"/>
        <rFont val="WenQuanYi Zen Hei"/>
        <family val="2"/>
      </rPr>
      <t xml:space="preserve">が不作動なら、最終事象「</t>
    </r>
    <r>
      <rPr>
        <sz val="10"/>
        <rFont val="Yu Gothic"/>
        <family val="0"/>
        <charset val="1"/>
      </rPr>
      <t xml:space="preserve">EO</t>
    </r>
    <r>
      <rPr>
        <sz val="10"/>
        <rFont val="WenQuanYi Zen Hei"/>
        <family val="2"/>
      </rPr>
      <t xml:space="preserve">反応器まで水を巻き上げて触媒失活」に至る</t>
    </r>
  </si>
  <si>
    <r>
      <rPr>
        <b val="true"/>
        <sz val="11"/>
        <rFont val="WenQuanYi Zen Hei"/>
        <family val="2"/>
      </rPr>
      <t xml:space="preserve">計算の再現（式が入っています。確率</t>
    </r>
    <r>
      <rPr>
        <b val="true"/>
        <sz val="11"/>
        <rFont val="Yu Gothic"/>
        <family val="0"/>
        <charset val="1"/>
      </rPr>
      <t xml:space="preserve">DB</t>
    </r>
    <r>
      <rPr>
        <b val="true"/>
        <sz val="11"/>
        <rFont val="WenQuanYi Zen Hei"/>
        <family val="2"/>
      </rPr>
      <t xml:space="preserve">を参照）</t>
    </r>
  </si>
  <si>
    <t xml:space="preserve">項目</t>
  </si>
  <si>
    <t xml:space="preserve">構成要素</t>
  </si>
  <si>
    <t xml:space="preserve">値</t>
  </si>
  <si>
    <t xml:space="preserve">単位</t>
  </si>
  <si>
    <r>
      <rPr>
        <sz val="10"/>
        <rFont val="WenQuanYi Zen Hei"/>
        <family val="2"/>
      </rPr>
      <t xml:space="preserve">起因事象（</t>
    </r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</si>
  <si>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Yu Gothic"/>
        <family val="0"/>
        <charset val="1"/>
      </rPr>
      <t xml:space="preserve">FC12</t>
    </r>
    <r>
      <rPr>
        <sz val="9"/>
        <color rgb="FF595959"/>
        <rFont val="WenQuanYi Zen Hei"/>
        <family val="2"/>
      </rPr>
      <t xml:space="preserve">ループの検出器</t>
    </r>
  </si>
  <si>
    <r>
      <rPr>
        <sz val="9"/>
        <color rgb="FF595959"/>
        <rFont val="Yu Gothic"/>
        <family val="0"/>
        <charset val="1"/>
      </rPr>
      <t xml:space="preserve">FC12</t>
    </r>
    <r>
      <rPr>
        <sz val="9"/>
        <color rgb="FF595959"/>
        <rFont val="WenQuanYi Zen Hei"/>
        <family val="2"/>
      </rPr>
      <t xml:space="preserve">ループの操作端</t>
    </r>
  </si>
  <si>
    <r>
      <rPr>
        <sz val="10"/>
        <rFont val="WenQuanYi Zen Hei"/>
        <family val="2"/>
      </rPr>
      <t xml:space="preserve">防護層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）</t>
    </r>
  </si>
  <si>
    <t xml:space="preserve">/d</t>
  </si>
  <si>
    <r>
      <rPr>
        <sz val="9"/>
        <color rgb="FF595959"/>
        <rFont val="Yu Gothic"/>
        <family val="0"/>
        <charset val="1"/>
      </rPr>
      <t xml:space="preserve">LK</t>
    </r>
    <r>
      <rPr>
        <sz val="9"/>
        <color rgb="FF595959"/>
        <rFont val="WenQuanYi Zen Hei"/>
        <family val="2"/>
      </rPr>
      <t xml:space="preserve">液面検出</t>
    </r>
  </si>
  <si>
    <r>
      <rPr>
        <sz val="10"/>
        <rFont val="WenQuanYi Zen Hei"/>
        <family val="2"/>
      </rPr>
      <t xml:space="preserve">防護層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OR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</si>
  <si>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Yu Gothic"/>
        <family val="0"/>
        <charset val="1"/>
      </rPr>
      <t xml:space="preserve">OSS</t>
    </r>
    <r>
      <rPr>
        <sz val="9"/>
        <color rgb="FF595959"/>
        <rFont val="WenQuanYi Zen Hei"/>
        <family val="2"/>
      </rPr>
      <t xml:space="preserve">の検出（</t>
    </r>
    <r>
      <rPr>
        <sz val="9"/>
        <color rgb="FF595959"/>
        <rFont val="Yu Gothic"/>
        <family val="0"/>
        <charset val="1"/>
      </rPr>
      <t xml:space="preserve">PDK</t>
    </r>
    <r>
      <rPr>
        <sz val="9"/>
        <color rgb="FF595959"/>
        <rFont val="WenQuanYi Zen Hei"/>
        <family val="2"/>
      </rPr>
      <t xml:space="preserve">）</t>
    </r>
  </si>
  <si>
    <r>
      <rPr>
        <sz val="9"/>
        <color rgb="FF595959"/>
        <rFont val="Yu Gothic"/>
        <family val="0"/>
        <charset val="1"/>
      </rPr>
      <t xml:space="preserve">OSS</t>
    </r>
    <r>
      <rPr>
        <sz val="9"/>
        <color rgb="FF595959"/>
        <rFont val="WenQuanYi Zen Hei"/>
        <family val="2"/>
      </rPr>
      <t xml:space="preserve">のロジック</t>
    </r>
  </si>
  <si>
    <r>
      <rPr>
        <sz val="9"/>
        <color rgb="FF595959"/>
        <rFont val="Yu Gothic"/>
        <family val="0"/>
        <charset val="1"/>
      </rPr>
      <t xml:space="preserve">OSS</t>
    </r>
    <r>
      <rPr>
        <sz val="9"/>
        <color rgb="FF595959"/>
        <rFont val="WenQuanYi Zen Hei"/>
        <family val="2"/>
      </rPr>
      <t xml:space="preserve">の操作端</t>
    </r>
  </si>
  <si>
    <r>
      <rPr>
        <b val="true"/>
        <sz val="10"/>
        <rFont val="WenQuanYi Zen Hei"/>
        <family val="2"/>
      </rPr>
      <t xml:space="preserve">起因事象頻度 </t>
    </r>
    <r>
      <rPr>
        <b val="true"/>
        <sz val="10"/>
        <rFont val="Yu Gothic"/>
        <family val="0"/>
        <charset val="1"/>
      </rPr>
      <t xml:space="preserve">F0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Yu Gothic"/>
        <family val="0"/>
        <charset val="1"/>
      </rPr>
      <t xml:space="preserve">λ</t>
    </r>
    <r>
      <rPr>
        <b val="true"/>
        <sz val="10"/>
        <rFont val="WenQuanYi Zen Hei"/>
        <family val="2"/>
      </rPr>
      <t xml:space="preserve">合計 </t>
    </r>
    <r>
      <rPr>
        <b val="true"/>
        <sz val="10"/>
        <rFont val="Yu Gothic"/>
        <family val="0"/>
        <charset val="1"/>
      </rPr>
      <t xml:space="preserve">× 8760</t>
    </r>
  </si>
  <si>
    <r>
      <rPr>
        <sz val="10"/>
        <rFont val="Yu Gothic"/>
        <family val="0"/>
        <charset val="1"/>
      </rPr>
      <t xml:space="preserve">/</t>
    </r>
    <r>
      <rPr>
        <sz val="10"/>
        <rFont val="WenQuanYi Zen Hei"/>
        <family val="2"/>
      </rPr>
      <t xml:space="preserve">年</t>
    </r>
  </si>
  <si>
    <r>
      <rPr>
        <b val="true"/>
        <sz val="10"/>
        <rFont val="WenQuanYi Zen Hei"/>
        <family val="2"/>
      </rPr>
      <t xml:space="preserve">防護層</t>
    </r>
    <r>
      <rPr>
        <b val="true"/>
        <sz val="10"/>
        <rFont val="Yu Gothic"/>
        <family val="0"/>
        <charset val="1"/>
      </rPr>
      <t xml:space="preserve">1</t>
    </r>
    <r>
      <rPr>
        <b val="true"/>
        <sz val="10"/>
        <rFont val="WenQuanYi Zen Hei"/>
        <family val="2"/>
      </rPr>
      <t xml:space="preserve">の</t>
    </r>
    <r>
      <rPr>
        <b val="true"/>
        <sz val="10"/>
        <rFont val="Yu Gothic"/>
        <family val="0"/>
        <charset val="1"/>
      </rPr>
      <t xml:space="preserve">PFD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Yu Gothic"/>
        <family val="0"/>
        <charset val="1"/>
      </rPr>
      <t xml:space="preserve">OR</t>
    </r>
    <r>
      <rPr>
        <b val="true"/>
        <sz val="10"/>
        <rFont val="WenQuanYi Zen Hei"/>
        <family val="2"/>
      </rPr>
      <t xml:space="preserve">＝要素の和）</t>
    </r>
  </si>
  <si>
    <r>
      <rPr>
        <b val="true"/>
        <sz val="10"/>
        <rFont val="WenQuanYi Zen Hei"/>
        <family val="2"/>
      </rPr>
      <t xml:space="preserve">防護層</t>
    </r>
    <r>
      <rPr>
        <b val="true"/>
        <sz val="10"/>
        <rFont val="Yu Gothic"/>
        <family val="0"/>
        <charset val="1"/>
      </rPr>
      <t xml:space="preserve">2</t>
    </r>
    <r>
      <rPr>
        <b val="true"/>
        <sz val="10"/>
        <rFont val="WenQuanYi Zen Hei"/>
        <family val="2"/>
      </rPr>
      <t xml:space="preserve">の</t>
    </r>
    <r>
      <rPr>
        <b val="true"/>
        <sz val="10"/>
        <rFont val="Yu Gothic"/>
        <family val="0"/>
        <charset val="1"/>
      </rPr>
      <t xml:space="preserve">PFD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Yu Gothic"/>
        <family val="0"/>
        <charset val="1"/>
      </rPr>
      <t xml:space="preserve">OR</t>
    </r>
    <r>
      <rPr>
        <b val="true"/>
        <sz val="10"/>
        <rFont val="WenQuanYi Zen Hei"/>
        <family val="2"/>
      </rPr>
      <t xml:space="preserve">＝要素の和）</t>
    </r>
  </si>
  <si>
    <r>
      <rPr>
        <b val="true"/>
        <sz val="10"/>
        <rFont val="WenQuanYi Zen Hei"/>
        <family val="2"/>
      </rPr>
      <t xml:space="preserve">最終事象頻度 </t>
    </r>
    <r>
      <rPr>
        <b val="true"/>
        <sz val="10"/>
        <rFont val="Yu Gothic"/>
        <family val="0"/>
        <charset val="1"/>
      </rPr>
      <t xml:space="preserve">F </t>
    </r>
    <r>
      <rPr>
        <b val="true"/>
        <sz val="10"/>
        <rFont val="WenQuanYi Zen Hei"/>
        <family val="2"/>
      </rPr>
      <t xml:space="preserve">＝ </t>
    </r>
    <r>
      <rPr>
        <b val="true"/>
        <sz val="10"/>
        <rFont val="Yu Gothic"/>
        <family val="0"/>
        <charset val="1"/>
      </rPr>
      <t xml:space="preserve">F0 × </t>
    </r>
    <r>
      <rPr>
        <b val="true"/>
        <sz val="10"/>
        <rFont val="WenQuanYi Zen Hei"/>
        <family val="2"/>
      </rPr>
      <t xml:space="preserve">層</t>
    </r>
    <r>
      <rPr>
        <b val="true"/>
        <sz val="10"/>
        <rFont val="Yu Gothic"/>
        <family val="0"/>
        <charset val="1"/>
      </rPr>
      <t xml:space="preserve">1PFD × </t>
    </r>
    <r>
      <rPr>
        <b val="true"/>
        <sz val="10"/>
        <rFont val="WenQuanYi Zen Hei"/>
        <family val="2"/>
      </rPr>
      <t xml:space="preserve">層</t>
    </r>
    <r>
      <rPr>
        <b val="true"/>
        <sz val="10"/>
        <rFont val="Yu Gothic"/>
        <family val="0"/>
        <charset val="1"/>
      </rPr>
      <t xml:space="preserve">2PFD</t>
    </r>
    <r>
      <rPr>
        <b val="true"/>
        <sz val="10"/>
        <rFont val="WenQuanYi Zen Hei"/>
        <family val="2"/>
      </rPr>
      <t xml:space="preserve">（</t>
    </r>
    <r>
      <rPr>
        <b val="true"/>
        <sz val="10"/>
        <rFont val="Yu Gothic"/>
        <family val="0"/>
        <charset val="1"/>
      </rPr>
      <t xml:space="preserve">AND</t>
    </r>
    <r>
      <rPr>
        <b val="true"/>
        <sz val="10"/>
        <rFont val="WenQuanYi Zen Hei"/>
        <family val="2"/>
      </rPr>
      <t xml:space="preserve">＝積）</t>
    </r>
  </si>
  <si>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/hr</t>
    </r>
    <r>
      <rPr>
        <sz val="10"/>
        <rFont val="WenQuanYi Zen Hei"/>
        <family val="2"/>
      </rPr>
      <t xml:space="preserve">換算）</t>
    </r>
  </si>
  <si>
    <r>
      <rPr>
        <b val="true"/>
        <sz val="11"/>
        <rFont val="Yu Gothic"/>
        <family val="0"/>
        <charset val="1"/>
      </rPr>
      <t xml:space="preserve">PHA_Organizer</t>
    </r>
    <r>
      <rPr>
        <b val="true"/>
        <sz val="11"/>
        <rFont val="WenQuanYi Zen Hei"/>
        <family val="2"/>
      </rPr>
      <t xml:space="preserve">の計算値との比較――「近似」の正体</t>
    </r>
  </si>
  <si>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保存値（</t>
    </r>
    <r>
      <rPr>
        <sz val="10"/>
        <rFont val="Yu Gothic"/>
        <family val="0"/>
        <charset val="1"/>
      </rPr>
      <t xml:space="preserve">project.pha</t>
    </r>
    <r>
      <rPr>
        <sz val="10"/>
        <rFont val="WenQuanYi Zen Hei"/>
        <family val="2"/>
      </rPr>
      <t xml:space="preserve">内 </t>
    </r>
    <r>
      <rPr>
        <sz val="10"/>
        <rFont val="Yu Gothic"/>
        <family val="0"/>
        <charset val="1"/>
      </rPr>
      <t xml:space="preserve">FT-0002</t>
    </r>
    <r>
      <rPr>
        <sz val="10"/>
        <rFont val="WenQuanYi Zen Hei"/>
        <family val="2"/>
      </rPr>
      <t xml:space="preserve">）</t>
    </r>
  </si>
  <si>
    <r>
      <rPr>
        <sz val="9"/>
        <color rgb="FF595959"/>
        <rFont val="WenQuanYi Zen Hei"/>
        <family val="2"/>
      </rPr>
      <t xml:space="preserve">出典</t>
    </r>
    <r>
      <rPr>
        <sz val="9"/>
        <color rgb="FF595959"/>
        <rFont val="Yu Gothic"/>
        <family val="0"/>
        <charset val="1"/>
      </rPr>
      <t xml:space="preserve">: project.pha</t>
    </r>
    <r>
      <rPr>
        <sz val="9"/>
        <color rgb="FF595959"/>
        <rFont val="WenQuanYi Zen Hei"/>
        <family val="2"/>
      </rPr>
      <t xml:space="preserve">（</t>
    </r>
    <r>
      <rPr>
        <sz val="9"/>
        <color rgb="FF595959"/>
        <rFont val="Yu Gothic"/>
        <family val="0"/>
        <charset val="1"/>
      </rPr>
      <t xml:space="preserve">PHA_Organizer 3.1.1</t>
    </r>
    <r>
      <rPr>
        <sz val="9"/>
        <color rgb="FF595959"/>
        <rFont val="WenQuanYi Zen Hei"/>
        <family val="2"/>
      </rPr>
      <t xml:space="preserve">）設定値を抽出 </t>
    </r>
    <r>
      <rPr>
        <sz val="9"/>
        <color rgb="FF595959"/>
        <rFont val="Yu Gothic"/>
        <family val="0"/>
        <charset val="1"/>
      </rPr>
      <t xml:space="preserve">2026-07-21</t>
    </r>
  </si>
  <si>
    <r>
      <rPr>
        <sz val="10"/>
        <rFont val="WenQuanYi Zen Hei"/>
        <family val="2"/>
      </rPr>
      <t xml:space="preserve">本シートの値 </t>
    </r>
    <r>
      <rPr>
        <sz val="10"/>
        <rFont val="Yu Gothic"/>
        <family val="0"/>
        <charset val="1"/>
      </rPr>
      <t xml:space="preserve">÷ PHA_Organizer</t>
    </r>
    <r>
      <rPr>
        <sz val="10"/>
        <rFont val="WenQuanYi Zen Hei"/>
        <family val="2"/>
      </rPr>
      <t xml:space="preserve">値</t>
    </r>
  </si>
  <si>
    <t xml:space="preserve">掛け算・足し算の体系は同じ。差の理由は下の説明を参照。</t>
  </si>
  <si>
    <t xml:space="preserve">なぜ差が出るか（計算方式は同じ、経路の網羅が違う）</t>
  </si>
  <si>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は</t>
    </r>
    <r>
      <rPr>
        <sz val="10"/>
        <rFont val="Yu Gothic"/>
        <family val="0"/>
        <charset val="1"/>
      </rPr>
      <t xml:space="preserve">HAZchart</t>
    </r>
    <r>
      <rPr>
        <sz val="10"/>
        <rFont val="WenQuanYi Zen Hei"/>
        <family val="2"/>
      </rPr>
      <t xml:space="preserve">全体を</t>
    </r>
    <r>
      <rPr>
        <sz val="10"/>
        <rFont val="Yu Gothic"/>
        <family val="0"/>
        <charset val="1"/>
      </rPr>
      <t xml:space="preserve">FT</t>
    </r>
    <r>
      <rPr>
        <sz val="10"/>
        <rFont val="WenQuanYi Zen Hei"/>
        <family val="2"/>
      </rPr>
      <t xml:space="preserve">に変換し、最終事象に至る「すべての経路」（この例では</t>
    </r>
    <r>
      <rPr>
        <sz val="10"/>
        <rFont val="Yu Gothic"/>
        <family val="0"/>
        <charset val="1"/>
      </rPr>
      <t xml:space="preserve">PDK</t>
    </r>
    <r>
      <rPr>
        <sz val="10"/>
        <rFont val="WenQuanYi Zen Hei"/>
        <family val="2"/>
      </rPr>
      <t xml:space="preserve">圧力検出や</t>
    </r>
    <r>
      <rPr>
        <sz val="10"/>
        <rFont val="Yu Gothic"/>
        <family val="0"/>
        <charset val="1"/>
      </rPr>
      <t xml:space="preserve">TK</t>
    </r>
    <r>
      <rPr>
        <sz val="10"/>
        <rFont val="WenQuanYi Zen Hei"/>
        <family val="2"/>
      </rPr>
      <t xml:space="preserve">温度検出を経由する分岐を含む）をカットセット（基本事象の組合せ）に展開して、組合せごとに確率の積を取り、それを合計する。本シートは主経路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本だけを計算しているため約</t>
    </r>
    <r>
      <rPr>
        <sz val="10"/>
        <rFont val="Yu Gothic"/>
        <family val="0"/>
        <charset val="1"/>
      </rPr>
      <t xml:space="preserve">3</t>
    </r>
    <r>
      <rPr>
        <sz val="10"/>
        <rFont val="WenQuanYi Zen Hei"/>
        <family val="2"/>
      </rPr>
      <t xml:space="preserve">割小さく出る。経路が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本だけのシナリオなら、本シートと</t>
    </r>
    <r>
      <rPr>
        <sz val="10"/>
        <rFont val="Yu Gothic"/>
        <family val="0"/>
        <charset val="1"/>
      </rPr>
      <t xml:space="preserve">PHA_Organizer</t>
    </r>
    <r>
      <rPr>
        <sz val="10"/>
        <rFont val="WenQuanYi Zen Hei"/>
        <family val="2"/>
      </rPr>
      <t xml:space="preserve">は同じ数字になる。分岐が多いシナリオを正確にやりたいときは、経路ごとに本シートの形で計算して合計すればよい（それがカットセットの積和そのもの）。</t>
    </r>
  </si>
  <si>
    <r>
      <rPr>
        <b val="true"/>
        <sz val="11"/>
        <rFont val="WenQuanYi Zen Hei"/>
        <family val="2"/>
      </rPr>
      <t xml:space="preserve">対策効果の見える化（この例での</t>
    </r>
    <r>
      <rPr>
        <b val="true"/>
        <sz val="11"/>
        <rFont val="Yu Gothic"/>
        <family val="0"/>
        <charset val="1"/>
      </rPr>
      <t xml:space="preserve">What-if</t>
    </r>
    <r>
      <rPr>
        <b val="true"/>
        <sz val="11"/>
        <rFont val="WenQuanYi Zen Hei"/>
        <family val="2"/>
      </rPr>
      <t xml:space="preserve">）</t>
    </r>
  </si>
  <si>
    <t xml:space="preserve">ケース</t>
  </si>
  <si>
    <t xml:space="preserve">内容</t>
  </si>
  <si>
    <r>
      <rPr>
        <b val="true"/>
        <sz val="10"/>
        <rFont val="WenQuanYi Zen Hei"/>
        <family val="2"/>
      </rPr>
      <t xml:space="preserve">頻度</t>
    </r>
    <r>
      <rPr>
        <b val="true"/>
        <sz val="10"/>
        <rFont val="Yu Gothic"/>
        <family val="0"/>
        <charset val="1"/>
      </rPr>
      <t xml:space="preserve">(/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Yu Gothic"/>
        <family val="0"/>
        <charset val="1"/>
      </rPr>
      <t xml:space="preserve">)</t>
    </r>
  </si>
  <si>
    <t xml:space="preserve">現状との比</t>
  </si>
  <si>
    <t xml:space="preserve">現状</t>
  </si>
  <si>
    <r>
      <rPr>
        <sz val="10"/>
        <rFont val="WenQuanYi Zen Hei"/>
        <family val="2"/>
      </rPr>
      <t xml:space="preserve">層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LK</t>
    </r>
    <r>
      <rPr>
        <sz val="10"/>
        <rFont val="WenQuanYi Zen Hei"/>
        <family val="2"/>
      </rPr>
      <t xml:space="preserve">＋運転員）＋層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（</t>
    </r>
    <r>
      <rPr>
        <sz val="10"/>
        <rFont val="Yu Gothic"/>
        <family val="0"/>
        <charset val="1"/>
      </rPr>
      <t xml:space="preserve">OSS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</si>
  <si>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層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なし</t>
    </r>
  </si>
  <si>
    <r>
      <rPr>
        <sz val="10"/>
        <rFont val="Yu Gothic"/>
        <family val="0"/>
        <charset val="1"/>
      </rPr>
      <t xml:space="preserve">OSS</t>
    </r>
    <r>
      <rPr>
        <sz val="10"/>
        <rFont val="WenQuanYi Zen Hei"/>
        <family val="2"/>
      </rPr>
      <t xml:space="preserve">が無い場合（運転員頼み）</t>
    </r>
  </si>
  <si>
    <r>
      <rPr>
        <sz val="10"/>
        <rFont val="WenQuanYi Zen Hei"/>
        <family val="2"/>
      </rPr>
      <t xml:space="preserve">層を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つ追加</t>
    </r>
  </si>
  <si>
    <r>
      <rPr>
        <sz val="10"/>
        <rFont val="WenQuanYi Zen Hei"/>
        <family val="2"/>
      </rPr>
      <t xml:space="preserve">独立したインターロックをもう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層追加（</t>
    </r>
    <r>
      <rPr>
        <sz val="10"/>
        <rFont val="Yu Gothic"/>
        <family val="0"/>
        <charset val="1"/>
      </rPr>
      <t xml:space="preserve">PFD</t>
    </r>
    <r>
      <rPr>
        <sz val="10"/>
        <rFont val="WenQuanYi Zen Hei"/>
        <family val="2"/>
      </rPr>
      <t xml:space="preserve">は層</t>
    </r>
    <r>
      <rPr>
        <sz val="10"/>
        <rFont val="Yu Gothic"/>
        <family val="0"/>
        <charset val="1"/>
      </rPr>
      <t xml:space="preserve">2</t>
    </r>
    <r>
      <rPr>
        <sz val="10"/>
        <rFont val="WenQuanYi Zen Hei"/>
        <family val="2"/>
      </rPr>
      <t xml:space="preserve">と同等と仮定）</t>
    </r>
  </si>
  <si>
    <r>
      <rPr>
        <sz val="9"/>
        <color rgb="FF595959"/>
        <rFont val="WenQuanYi Zen Hei"/>
        <family val="2"/>
      </rPr>
      <t xml:space="preserve">（読み方）層を</t>
    </r>
    <r>
      <rPr>
        <sz val="9"/>
        <color rgb="FF595959"/>
        <rFont val="Yu Gothic"/>
        <family val="0"/>
        <charset val="1"/>
      </rPr>
      <t xml:space="preserve">1</t>
    </r>
    <r>
      <rPr>
        <sz val="9"/>
        <color rgb="FF595959"/>
        <rFont val="WenQuanYi Zen Hei"/>
        <family val="2"/>
      </rPr>
      <t xml:space="preserve">つ追加すると頻度は追加層の</t>
    </r>
    <r>
      <rPr>
        <sz val="9"/>
        <color rgb="FF595959"/>
        <rFont val="Yu Gothic"/>
        <family val="0"/>
        <charset val="1"/>
      </rPr>
      <t xml:space="preserve">PFD</t>
    </r>
    <r>
      <rPr>
        <sz val="9"/>
        <color rgb="FF595959"/>
        <rFont val="WenQuanYi Zen Hei"/>
        <family val="2"/>
      </rPr>
      <t xml:space="preserve">倍（約</t>
    </r>
    <r>
      <rPr>
        <sz val="9"/>
        <color rgb="FF595959"/>
        <rFont val="Yu Gothic"/>
        <family val="0"/>
        <charset val="1"/>
      </rPr>
      <t xml:space="preserve">1/12</t>
    </r>
    <r>
      <rPr>
        <sz val="9"/>
        <color rgb="FF595959"/>
        <rFont val="WenQuanYi Zen Hei"/>
        <family val="2"/>
      </rPr>
      <t xml:space="preserve">）に下がる。ただし追加層が既存層と検出器や</t>
    </r>
    <r>
      <rPr>
        <sz val="9"/>
        <color rgb="FF595959"/>
        <rFont val="Yu Gothic"/>
        <family val="0"/>
        <charset val="1"/>
      </rPr>
      <t xml:space="preserve">DCS</t>
    </r>
    <r>
      <rPr>
        <sz val="9"/>
        <color rgb="FF595959"/>
        <rFont val="WenQuanYi Zen Hei"/>
        <family val="2"/>
      </rPr>
      <t xml:space="preserve">を共有すると効果はここまで出ない（コモン事象）。</t>
    </r>
  </si>
  <si>
    <t xml:space="preserve">リスクマトリックス（しきい値を入力して確定させる）</t>
  </si>
  <si>
    <r>
      <rPr>
        <b val="true"/>
        <sz val="10"/>
        <color rgb="FFFF0000"/>
        <rFont val="WenQuanYi Zen Hei"/>
        <family val="2"/>
      </rPr>
      <t xml:space="preserve">黄色セルの初期値は仮置き（</t>
    </r>
    <r>
      <rPr>
        <b val="true"/>
        <sz val="10"/>
        <color rgb="FFFF0000"/>
        <rFont val="Yu Gothic"/>
        <family val="0"/>
        <charset val="1"/>
      </rPr>
      <t xml:space="preserve">/hr</t>
    </r>
    <r>
      <rPr>
        <b val="true"/>
        <sz val="10"/>
        <color rgb="FFFF0000"/>
        <rFont val="WenQuanYi Zen Hei"/>
        <family val="2"/>
      </rPr>
      <t xml:space="preserve">列は</t>
    </r>
    <r>
      <rPr>
        <b val="true"/>
        <sz val="10"/>
        <color rgb="FFFF0000"/>
        <rFont val="Yu Gothic"/>
        <family val="0"/>
        <charset val="1"/>
      </rPr>
      <t xml:space="preserve">/</t>
    </r>
    <r>
      <rPr>
        <b val="true"/>
        <sz val="10"/>
        <color rgb="FFFF0000"/>
        <rFont val="WenQuanYi Zen Hei"/>
        <family val="2"/>
      </rPr>
      <t xml:space="preserve">年列</t>
    </r>
    <r>
      <rPr>
        <b val="true"/>
        <sz val="10"/>
        <color rgb="FFFF0000"/>
        <rFont val="Yu Gothic"/>
        <family val="0"/>
        <charset val="1"/>
      </rPr>
      <t xml:space="preserve">÷8760</t>
    </r>
    <r>
      <rPr>
        <b val="true"/>
        <sz val="10"/>
        <color rgb="FFFF0000"/>
        <rFont val="WenQuanYi Zen Hei"/>
        <family val="2"/>
      </rPr>
      <t xml:space="preserve">）。</t>
    </r>
    <r>
      <rPr>
        <b val="true"/>
        <sz val="10"/>
        <color rgb="FFFF0000"/>
        <rFont val="Yu Gothic"/>
        <family val="0"/>
        <charset val="1"/>
      </rPr>
      <t xml:space="preserve">C-2-3</t>
    </r>
    <r>
      <rPr>
        <b val="true"/>
        <sz val="10"/>
        <color rgb="FFFF0000"/>
        <rFont val="WenQuanYi Zen Hei"/>
        <family val="2"/>
      </rPr>
      <t xml:space="preserve">の正式な区分・しきい値・ゾーン割付に差し替えてから判定を使うこと（要確認）。</t>
    </r>
  </si>
  <si>
    <t xml:space="preserve">頻度レベル（しきい値＝黄色セル。判定は「以上」で上から引く）</t>
  </si>
  <si>
    <t xml:space="preserve">レベル</t>
  </si>
  <si>
    <t xml:space="preserve">意味</t>
  </si>
  <si>
    <r>
      <rPr>
        <b val="true"/>
        <sz val="10"/>
        <rFont val="WenQuanYi Zen Hei"/>
        <family val="2"/>
      </rPr>
      <t xml:space="preserve">しきい値（</t>
    </r>
    <r>
      <rPr>
        <b val="true"/>
        <sz val="10"/>
        <rFont val="Yu Gothic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年 以上）</t>
    </r>
  </si>
  <si>
    <r>
      <rPr>
        <b val="true"/>
        <sz val="10"/>
        <rFont val="WenQuanYi Zen Hei"/>
        <family val="2"/>
      </rPr>
      <t xml:space="preserve">しきい値（</t>
    </r>
    <r>
      <rPr>
        <b val="true"/>
        <sz val="10"/>
        <rFont val="Yu Gothic"/>
        <family val="0"/>
        <charset val="1"/>
      </rPr>
      <t xml:space="preserve">/hr </t>
    </r>
    <r>
      <rPr>
        <b val="true"/>
        <sz val="10"/>
        <rFont val="WenQuanYi Zen Hei"/>
        <family val="2"/>
      </rPr>
      <t xml:space="preserve">以上）</t>
    </r>
  </si>
  <si>
    <t xml:space="preserve">E</t>
  </si>
  <si>
    <t xml:space="preserve">年に何回も起こりうる</t>
  </si>
  <si>
    <t xml:space="preserve">D</t>
  </si>
  <si>
    <t xml:space="preserve">検出が弱いと起こる</t>
  </si>
  <si>
    <t xml:space="preserve">C</t>
  </si>
  <si>
    <t xml:space="preserve">管理されていれば稀</t>
  </si>
  <si>
    <t xml:space="preserve">B</t>
  </si>
  <si>
    <t xml:space="preserve">多重故障が必要</t>
  </si>
  <si>
    <t xml:space="preserve">A</t>
  </si>
  <si>
    <t xml:space="preserve">上記未満（実質起こらない）</t>
  </si>
  <si>
    <t xml:space="preserve">-</t>
  </si>
  <si>
    <t xml:space="preserve">影響度レベル</t>
  </si>
  <si>
    <t xml:space="preserve">1</t>
  </si>
  <si>
    <t xml:space="preserve">事故</t>
  </si>
  <si>
    <t xml:space="preserve">火災・爆発・大量漏洩・重大な人的被害</t>
  </si>
  <si>
    <t xml:space="preserve">2</t>
  </si>
  <si>
    <t xml:space="preserve">重大トラブル</t>
  </si>
  <si>
    <t xml:space="preserve">漏洩・機器損傷・長期の運転停止</t>
  </si>
  <si>
    <t xml:space="preserve">3</t>
  </si>
  <si>
    <t xml:space="preserve">トラブル</t>
  </si>
  <si>
    <r>
      <rPr>
        <sz val="10"/>
        <rFont val="WenQuanYi Zen Hei"/>
        <family val="2"/>
      </rPr>
      <t xml:space="preserve">運転阻害・軽微な損傷（</t>
    </r>
    <r>
      <rPr>
        <sz val="10"/>
        <rFont val="Yu Gothic"/>
        <family val="0"/>
        <charset val="1"/>
      </rPr>
      <t xml:space="preserve">1</t>
    </r>
    <r>
      <rPr>
        <sz val="10"/>
        <rFont val="WenQuanYi Zen Hei"/>
        <family val="2"/>
      </rPr>
      <t xml:space="preserve">週間未満で復旧）</t>
    </r>
  </si>
  <si>
    <t xml:space="preserve">4</t>
  </si>
  <si>
    <t xml:space="preserve">小トラブル</t>
  </si>
  <si>
    <t xml:space="preserve">放出なし・プロセス乱れのみ</t>
  </si>
  <si>
    <r>
      <rPr>
        <b val="true"/>
        <sz val="11"/>
        <rFont val="WenQuanYi Zen Hei"/>
        <family val="2"/>
      </rPr>
      <t xml:space="preserve">マトリックス（行</t>
    </r>
    <r>
      <rPr>
        <b val="true"/>
        <sz val="11"/>
        <rFont val="Yu Gothic"/>
        <family val="0"/>
        <charset val="1"/>
      </rPr>
      <t xml:space="preserve">=</t>
    </r>
    <r>
      <rPr>
        <b val="true"/>
        <sz val="11"/>
        <rFont val="WenQuanYi Zen Hei"/>
        <family val="2"/>
      </rPr>
      <t xml:space="preserve">頻度レベル、列</t>
    </r>
    <r>
      <rPr>
        <b val="true"/>
        <sz val="11"/>
        <rFont val="Yu Gothic"/>
        <family val="0"/>
        <charset val="1"/>
      </rPr>
      <t xml:space="preserve">=</t>
    </r>
    <r>
      <rPr>
        <b val="true"/>
        <sz val="11"/>
        <rFont val="WenQuanYi Zen Hei"/>
        <family val="2"/>
      </rPr>
      <t xml:space="preserve">影響度レベル）</t>
    </r>
  </si>
  <si>
    <t xml:space="preserve">頻度</t>
  </si>
  <si>
    <r>
      <rPr>
        <b val="true"/>
        <sz val="10"/>
        <rFont val="WenQuanYi Zen Hei"/>
        <family val="2"/>
      </rPr>
      <t xml:space="preserve">影響度</t>
    </r>
    <r>
      <rPr>
        <b val="true"/>
        <sz val="10"/>
        <rFont val="Yu Gothic"/>
        <family val="0"/>
        <charset val="1"/>
      </rPr>
      <t xml:space="preserve">1</t>
    </r>
  </si>
  <si>
    <r>
      <rPr>
        <b val="true"/>
        <sz val="10"/>
        <rFont val="WenQuanYi Zen Hei"/>
        <family val="2"/>
      </rPr>
      <t xml:space="preserve">影響度</t>
    </r>
    <r>
      <rPr>
        <b val="true"/>
        <sz val="10"/>
        <rFont val="Yu Gothic"/>
        <family val="0"/>
        <charset val="1"/>
      </rPr>
      <t xml:space="preserve">2</t>
    </r>
  </si>
  <si>
    <r>
      <rPr>
        <b val="true"/>
        <sz val="10"/>
        <rFont val="WenQuanYi Zen Hei"/>
        <family val="2"/>
      </rPr>
      <t xml:space="preserve">影響度</t>
    </r>
    <r>
      <rPr>
        <b val="true"/>
        <sz val="10"/>
        <rFont val="Yu Gothic"/>
        <family val="0"/>
        <charset val="1"/>
      </rPr>
      <t xml:space="preserve">3</t>
    </r>
  </si>
  <si>
    <r>
      <rPr>
        <b val="true"/>
        <sz val="10"/>
        <rFont val="WenQuanYi Zen Hei"/>
        <family val="2"/>
      </rPr>
      <t xml:space="preserve">影響度</t>
    </r>
    <r>
      <rPr>
        <b val="true"/>
        <sz val="10"/>
        <rFont val="Yu Gothic"/>
        <family val="0"/>
        <charset val="1"/>
      </rPr>
      <t xml:space="preserve">4</t>
    </r>
  </si>
  <si>
    <t xml:space="preserve">赤</t>
  </si>
  <si>
    <t xml:space="preserve">黄</t>
  </si>
  <si>
    <t xml:space="preserve">緑</t>
  </si>
  <si>
    <r>
      <rPr>
        <sz val="9"/>
        <color rgb="FF595959"/>
        <rFont val="WenQuanYi Zen Hei"/>
        <family val="2"/>
      </rPr>
      <t xml:space="preserve">赤</t>
    </r>
    <r>
      <rPr>
        <sz val="9"/>
        <color rgb="FF595959"/>
        <rFont val="Yu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許容不可（対策必須） 黄</t>
    </r>
    <r>
      <rPr>
        <sz val="9"/>
        <color rgb="FF595959"/>
        <rFont val="Yu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条件付き（管理・監視強化のうえ猶予） 緑</t>
    </r>
    <r>
      <rPr>
        <sz val="9"/>
        <color rgb="FF595959"/>
        <rFont val="Yu Gothic"/>
        <family val="0"/>
        <charset val="1"/>
      </rPr>
      <t xml:space="preserve">=</t>
    </r>
    <r>
      <rPr>
        <sz val="9"/>
        <color rgb="FF595959"/>
        <rFont val="WenQuanYi Zen Hei"/>
        <family val="2"/>
      </rPr>
      <t xml:space="preserve">許容可。ゾーンの文字（赤</t>
    </r>
    <r>
      <rPr>
        <sz val="9"/>
        <color rgb="FF595959"/>
        <rFont val="Yu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黄</t>
    </r>
    <r>
      <rPr>
        <sz val="9"/>
        <color rgb="FF595959"/>
        <rFont val="Yu Gothic"/>
        <family val="0"/>
        <charset val="1"/>
      </rPr>
      <t xml:space="preserve">/</t>
    </r>
    <r>
      <rPr>
        <sz val="9"/>
        <color rgb="FF595959"/>
        <rFont val="WenQuanYi Zen Hei"/>
        <family val="2"/>
      </rPr>
      <t xml:space="preserve">緑）も入力セル扱い＝</t>
    </r>
    <r>
      <rPr>
        <sz val="9"/>
        <color rgb="FF595959"/>
        <rFont val="Yu Gothic"/>
        <family val="0"/>
        <charset val="1"/>
      </rPr>
      <t xml:space="preserve">C-2-3</t>
    </r>
    <r>
      <rPr>
        <sz val="9"/>
        <color rgb="FF595959"/>
        <rFont val="WenQuanYi Zen Hei"/>
        <family val="2"/>
      </rPr>
      <t xml:space="preserve">の割付に合わせて書き換えてよい（色は手動で変更）。</t>
    </r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</si>
</sst>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E+00"/>
    <numFmt numFmtId="166" formatCode="0.0"/>
    <numFmt numFmtId="167" formatCode="0.000"/>
    <numFmt numFmtId="168" formatCode="0"/>
    <numFmt numFmtId="169" formatCode="0.0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Yu Gothic"/>
      <family val="0"/>
      <charset val="1"/>
    </font>
    <font>
      <b val="true"/>
      <sz val="14"/>
      <name val="WenQuanYi Zen Hei"/>
      <family val="2"/>
    </font>
    <font>
      <sz val="9"/>
      <color rgb="FF595959"/>
      <name val="WenQuanYi Zen Hei"/>
      <family val="2"/>
    </font>
    <font>
      <sz val="9"/>
      <color rgb="FF595959"/>
      <name val="Yu Gothic"/>
      <family val="0"/>
      <charset val="1"/>
    </font>
    <font>
      <b val="true"/>
      <sz val="10"/>
      <name val="WenQuanYi Zen Hei"/>
      <family val="2"/>
    </font>
    <font>
      <sz val="10"/>
      <name val="Yu Gothic"/>
      <family val="0"/>
      <charset val="1"/>
    </font>
    <font>
      <sz val="10"/>
      <name val="WenQuanYi Zen Hei"/>
      <family val="2"/>
    </font>
    <font>
      <b val="true"/>
      <sz val="10"/>
      <name val="Yu Gothic"/>
      <family val="0"/>
      <charset val="1"/>
    </font>
    <font>
      <b val="true"/>
      <sz val="10"/>
      <color rgb="FFFF0000"/>
      <name val="WenQuanYi Zen Hei"/>
      <family val="2"/>
    </font>
    <font>
      <b val="true"/>
      <sz val="11"/>
      <name val="Yu Gothic"/>
      <family val="0"/>
      <charset val="1"/>
    </font>
    <font>
      <b val="true"/>
      <sz val="11"/>
      <name val="WenQuanYi Zen Hei"/>
      <family val="2"/>
    </font>
    <font>
      <sz val="10"/>
      <color rgb="FF0000FF"/>
      <name val="Yu Gothic"/>
      <family val="0"/>
      <charset val="1"/>
    </font>
    <font>
      <sz val="10"/>
      <color rgb="FF0000FF"/>
      <name val="WenQuanYi Zen Hei"/>
      <family val="2"/>
    </font>
    <font>
      <b val="true"/>
      <sz val="10"/>
      <color rgb="FFFF0000"/>
      <name val="Yu Gothic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D9D9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6666"/>
        <bgColor rgb="FFFF6600"/>
      </patternFill>
    </fill>
    <fill>
      <patternFill patternType="solid">
        <fgColor rgb="FFFFFF99"/>
        <bgColor rgb="FFFFFFCC"/>
      </patternFill>
    </fill>
    <fill>
      <patternFill patternType="solid">
        <fgColor rgb="FF99CC99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9CC99"/>
      <rgbColor rgb="FF808080"/>
      <rgbColor rgb="FF9999FF"/>
      <rgbColor rgb="FF993366"/>
      <rgbColor rgb="FFFFFFCC"/>
      <rgbColor rgb="FFCCFFFF"/>
      <rgbColor rgb="FF660066"/>
      <rgbColor rgb="FFFF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2" customFormat="false" ht="19.4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31.5" hidden="false" customHeight="true" outlineLevel="0" collapsed="false">
      <c r="B5" s="3" t="s">
        <v>2</v>
      </c>
      <c r="C5" s="4" t="s">
        <v>3</v>
      </c>
    </row>
    <row r="6" customFormat="false" ht="31.5" hidden="false" customHeight="true" outlineLevel="0" collapsed="false">
      <c r="B6" s="3" t="s">
        <v>4</v>
      </c>
      <c r="C6" s="5" t="s">
        <v>5</v>
      </c>
    </row>
    <row r="7" customFormat="false" ht="31.5" hidden="false" customHeight="true" outlineLevel="0" collapsed="false">
      <c r="B7" s="3" t="s">
        <v>6</v>
      </c>
      <c r="C7" s="5" t="s">
        <v>7</v>
      </c>
    </row>
    <row r="8" customFormat="false" ht="31.5" hidden="false" customHeight="true" outlineLevel="0" collapsed="false">
      <c r="B8" s="3" t="s">
        <v>8</v>
      </c>
      <c r="C8" s="5" t="s">
        <v>9</v>
      </c>
    </row>
    <row r="9" customFormat="false" ht="31.5" hidden="false" customHeight="true" outlineLevel="0" collapsed="false">
      <c r="B9" s="3" t="s">
        <v>10</v>
      </c>
      <c r="C9" s="5" t="s">
        <v>11</v>
      </c>
    </row>
    <row r="10" customFormat="false" ht="31.5" hidden="false" customHeight="true" outlineLevel="0" collapsed="false">
      <c r="B10" s="3" t="s">
        <v>12</v>
      </c>
      <c r="C10" s="5" t="s">
        <v>13</v>
      </c>
    </row>
    <row r="11" customFormat="false" ht="31.5" hidden="false" customHeight="true" outlineLevel="0" collapsed="false">
      <c r="B11" s="3" t="s">
        <v>14</v>
      </c>
      <c r="C11" s="5" t="s">
        <v>15</v>
      </c>
    </row>
    <row r="12" customFormat="false" ht="31.5" hidden="false" customHeight="true" outlineLevel="0" collapsed="false">
      <c r="B12" s="3" t="s">
        <v>16</v>
      </c>
      <c r="C12" s="5" t="s">
        <v>17</v>
      </c>
    </row>
    <row r="14" customFormat="false" ht="15" hidden="false" customHeight="false" outlineLevel="0" collapsed="false">
      <c r="B14" s="6" t="s">
        <v>18</v>
      </c>
    </row>
    <row r="15" customFormat="false" ht="27.75" hidden="false" customHeight="true" outlineLevel="0" collapsed="false">
      <c r="C15" s="7" t="s">
        <v>19</v>
      </c>
    </row>
    <row r="16" customFormat="false" ht="27.75" hidden="false" customHeight="true" outlineLevel="0" collapsed="false">
      <c r="C16" s="7" t="s">
        <v>20</v>
      </c>
    </row>
    <row r="17" customFormat="false" ht="27.75" hidden="false" customHeight="true" outlineLevel="0" collapsed="false">
      <c r="C17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95"/>
  </cols>
  <sheetData>
    <row r="2" customFormat="false" ht="19.4" hidden="false" customHeight="false" outlineLevel="0" collapsed="false">
      <c r="B2" s="1" t="s">
        <v>22</v>
      </c>
    </row>
    <row r="4" customFormat="false" ht="15" hidden="false" customHeight="false" outlineLevel="0" collapsed="false">
      <c r="B4" s="8" t="s">
        <v>23</v>
      </c>
    </row>
    <row r="5" customFormat="false" ht="15" hidden="false" customHeight="false" outlineLevel="0" collapsed="false">
      <c r="B5" s="9" t="s">
        <v>24</v>
      </c>
      <c r="D5" s="4" t="s">
        <v>25</v>
      </c>
    </row>
    <row r="6" customFormat="false" ht="15" hidden="false" customHeight="false" outlineLevel="0" collapsed="false">
      <c r="B6" s="9" t="s">
        <v>26</v>
      </c>
      <c r="D6" s="4" t="s">
        <v>27</v>
      </c>
    </row>
    <row r="7" customFormat="false" ht="15" hidden="false" customHeight="false" outlineLevel="0" collapsed="false">
      <c r="B7" s="9" t="s">
        <v>28</v>
      </c>
      <c r="D7" s="4" t="s">
        <v>29</v>
      </c>
    </row>
    <row r="8" customFormat="false" ht="15" hidden="false" customHeight="false" outlineLevel="0" collapsed="false">
      <c r="B8" s="9" t="s">
        <v>30</v>
      </c>
      <c r="D8" s="5" t="s">
        <v>31</v>
      </c>
    </row>
    <row r="10" customFormat="false" ht="15" hidden="false" customHeight="false" outlineLevel="0" collapsed="false">
      <c r="B10" s="8" t="s">
        <v>32</v>
      </c>
    </row>
    <row r="11" customFormat="false" ht="15" hidden="false" customHeight="false" outlineLevel="0" collapsed="false">
      <c r="B11" s="9" t="s">
        <v>33</v>
      </c>
      <c r="D11" s="5" t="s">
        <v>34</v>
      </c>
    </row>
    <row r="12" customFormat="false" ht="15" hidden="false" customHeight="false" outlineLevel="0" collapsed="false">
      <c r="B12" s="9" t="s">
        <v>35</v>
      </c>
      <c r="D12" s="5" t="s">
        <v>36</v>
      </c>
    </row>
    <row r="14" customFormat="false" ht="15" hidden="false" customHeight="false" outlineLevel="0" collapsed="false">
      <c r="B14" s="8" t="s">
        <v>37</v>
      </c>
    </row>
    <row r="15" customFormat="false" ht="43.5" hidden="false" customHeight="true" outlineLevel="0" collapsed="false">
      <c r="B15" s="10" t="s">
        <v>38</v>
      </c>
      <c r="D15" s="5" t="s">
        <v>39</v>
      </c>
    </row>
    <row r="16" customFormat="false" ht="43.5" hidden="false" customHeight="true" outlineLevel="0" collapsed="false">
      <c r="B16" s="10" t="s">
        <v>40</v>
      </c>
      <c r="D16" s="5" t="s">
        <v>41</v>
      </c>
    </row>
    <row r="17" customFormat="false" ht="43.5" hidden="false" customHeight="true" outlineLevel="0" collapsed="false">
      <c r="B17" s="9" t="s">
        <v>42</v>
      </c>
      <c r="D17" s="5" t="s">
        <v>43</v>
      </c>
    </row>
    <row r="18" customFormat="false" ht="30" hidden="false" customHeight="true" outlineLevel="0" collapsed="false">
      <c r="B18" s="5" t="s">
        <v>44</v>
      </c>
      <c r="C18" s="11" t="n">
        <f aca="false">(INDEX(確率DB!$E$4:$E$27,MATCH("流量計／故障",確率DB!$B$4:$B$27,0))+INDEX(確率DB!$E$4:$E$27,MATCH("DCS／故障",確率DB!$B$4:$B$27,0)))*8760*INDEX(確率DB!$G$4:$G$27,MATCH("ヒューマンエラー／発見したが対処できない（時間余裕10分）",確率DB!$B$4:$B$27,0))</f>
        <v>0.315361387584</v>
      </c>
      <c r="D18" s="12" t="s">
        <v>45</v>
      </c>
    </row>
    <row r="20" customFormat="false" ht="15" hidden="false" customHeight="false" outlineLevel="0" collapsed="false">
      <c r="B20" s="8" t="s">
        <v>46</v>
      </c>
    </row>
    <row r="21" customFormat="false" ht="27.75" hidden="false" customHeight="true" outlineLevel="0" collapsed="false">
      <c r="B21" s="9" t="s">
        <v>47</v>
      </c>
      <c r="D21" s="4" t="s">
        <v>48</v>
      </c>
    </row>
    <row r="22" customFormat="false" ht="27.75" hidden="false" customHeight="true" outlineLevel="0" collapsed="false">
      <c r="B22" s="9" t="s">
        <v>49</v>
      </c>
      <c r="D22" s="4" t="s">
        <v>50</v>
      </c>
    </row>
    <row r="23" customFormat="false" ht="27.75" hidden="false" customHeight="true" outlineLevel="0" collapsed="false">
      <c r="B23" s="9" t="s">
        <v>51</v>
      </c>
      <c r="D23" s="4" t="s">
        <v>52</v>
      </c>
    </row>
    <row r="24" customFormat="false" ht="27.75" hidden="false" customHeight="true" outlineLevel="0" collapsed="false">
      <c r="B24" s="9" t="s">
        <v>53</v>
      </c>
      <c r="D24" s="5" t="s">
        <v>54</v>
      </c>
    </row>
    <row r="26" customFormat="false" ht="15" hidden="false" customHeight="false" outlineLevel="0" collapsed="false">
      <c r="B26" s="8" t="s">
        <v>55</v>
      </c>
    </row>
    <row r="27" customFormat="false" ht="30" hidden="false" customHeight="true" outlineLevel="0" collapsed="false">
      <c r="B27" s="9" t="s">
        <v>56</v>
      </c>
      <c r="D27" s="5" t="s">
        <v>57</v>
      </c>
    </row>
    <row r="28" customFormat="false" ht="30" hidden="false" customHeight="true" outlineLevel="0" collapsed="false">
      <c r="B28" s="9" t="s">
        <v>58</v>
      </c>
      <c r="D28" s="5" t="s">
        <v>59</v>
      </c>
    </row>
    <row r="29" customFormat="false" ht="30" hidden="false" customHeight="true" outlineLevel="0" collapsed="false">
      <c r="B29" s="9" t="s">
        <v>60</v>
      </c>
      <c r="D29" s="5" t="s">
        <v>61</v>
      </c>
    </row>
    <row r="30" customFormat="false" ht="30" hidden="false" customHeight="true" outlineLevel="0" collapsed="false">
      <c r="B30" s="9" t="s">
        <v>62</v>
      </c>
      <c r="D30" s="5" t="s">
        <v>63</v>
      </c>
    </row>
    <row r="32" customFormat="false" ht="15" hidden="false" customHeight="false" outlineLevel="0" collapsed="false">
      <c r="B32" s="8" t="s">
        <v>64</v>
      </c>
    </row>
    <row r="33" customFormat="false" ht="15" hidden="false" customHeight="false" outlineLevel="0" collapsed="false">
      <c r="B33" s="13" t="s">
        <v>65</v>
      </c>
      <c r="C33" s="13" t="s">
        <v>66</v>
      </c>
      <c r="D33" s="13" t="s">
        <v>67</v>
      </c>
    </row>
    <row r="34" customFormat="false" ht="15" hidden="false" customHeight="false" outlineLevel="0" collapsed="false">
      <c r="B34" s="5" t="s">
        <v>68</v>
      </c>
      <c r="C34" s="11" t="n">
        <f aca="false">MIN(1,INDEX(確率DB!$G$4:$G$27,MATCH("液面計／故障",確率DB!$B$4:$B$27,0))+INDEX(確率DB!$G$4:$G$27,MATCH("ヒューマンエラー／アラームに気づかない",確率DB!$B$4:$B$27,0))+INDEX(確率DB!$G$4:$G$27,MATCH("ヒューマンエラー／発見したが対処できない（時間余裕10分）",確率DB!$B$4:$B$27,0)))</f>
        <v>0.3686</v>
      </c>
      <c r="D34" s="14" t="n">
        <f aca="false">ROUND(1/C34,1)</f>
        <v>2.7</v>
      </c>
    </row>
    <row r="35" customFormat="false" ht="15" hidden="false" customHeight="false" outlineLevel="0" collapsed="false">
      <c r="B35" s="5" t="s">
        <v>69</v>
      </c>
      <c r="C35" s="11" t="n">
        <f aca="false">INDEX(確率DB!$G$4:$G$27,MATCH("圧力計／故障",確率DB!$B$4:$B$27,0))+INDEX(確率DB!$G$4:$G$27,MATCH("リレー回路／故障",確率DB!$B$4:$B$27,0))+INDEX(確率DB!$G$4:$G$27,MATCH("空気調整弁／故障",確率DB!$B$4:$B$27,0))</f>
        <v>0.08219</v>
      </c>
      <c r="D35" s="14" t="n">
        <f aca="false">ROUND(1/C35,1)</f>
        <v>12.2</v>
      </c>
    </row>
    <row r="36" customFormat="false" ht="15" hidden="false" customHeight="false" outlineLevel="0" collapsed="false">
      <c r="B36" s="5" t="s">
        <v>70</v>
      </c>
      <c r="C36" s="11" t="n">
        <f aca="false">INDEX(確率DB!$G$4:$G$27,MATCH("安全弁／故障",確率DB!$B$4:$B$27,0))</f>
        <v>0.00022</v>
      </c>
      <c r="D36" s="14" t="n">
        <f aca="false">ROUND(1/C36,1)</f>
        <v>4545.5</v>
      </c>
    </row>
    <row r="37" customFormat="false" ht="39.75" hidden="false" customHeight="true" outlineLevel="0" collapsed="false">
      <c r="B37" s="12" t="s">
        <v>71</v>
      </c>
    </row>
    <row r="39" customFormat="false" ht="15" hidden="false" customHeight="false" outlineLevel="0" collapsed="false">
      <c r="B39" s="8" t="s">
        <v>72</v>
      </c>
    </row>
    <row r="40" customFormat="false" ht="15" hidden="false" customHeight="false" outlineLevel="0" collapsed="false">
      <c r="B40" s="15" t="s">
        <v>73</v>
      </c>
      <c r="C40" s="11" t="n">
        <f aca="false">INDEX(確率DB!$E$4:$E$27,MATCH("温度計／故障",確率DB!$B$4:$B$27,0))*720/2</f>
        <v>0.03492</v>
      </c>
      <c r="D40" s="12" t="s">
        <v>74</v>
      </c>
    </row>
    <row r="41" customFormat="false" ht="15" hidden="false" customHeight="false" outlineLevel="0" collapsed="false">
      <c r="B41" s="16" t="s">
        <v>75</v>
      </c>
      <c r="C41" s="17" t="n">
        <f aca="false">0.3+0.08</f>
        <v>0.38</v>
      </c>
      <c r="D41" s="12" t="s">
        <v>76</v>
      </c>
    </row>
    <row r="43" customFormat="false" ht="15" hidden="false" customHeight="false" outlineLevel="0" collapsed="false">
      <c r="B43" s="8" t="s">
        <v>77</v>
      </c>
    </row>
    <row r="44" customFormat="false" ht="39.75" hidden="false" customHeight="true" outlineLevel="0" collapsed="false">
      <c r="D44" s="7" t="s">
        <v>78</v>
      </c>
    </row>
    <row r="46" customFormat="false" ht="25.35" hidden="false" customHeight="false" outlineLevel="0" collapsed="false">
      <c r="D46" s="12" t="s">
        <v>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40"/>
    <col collapsed="false" customWidth="true" hidden="false" outlineLevel="0" max="10" min="10" style="0" width="46"/>
  </cols>
  <sheetData>
    <row r="1" customFormat="false" ht="19.4" hidden="false" customHeight="false" outlineLevel="0" collapsed="false">
      <c r="A1" s="18" t="s">
        <v>80</v>
      </c>
    </row>
    <row r="2" customFormat="false" ht="15" hidden="false" customHeight="false" outlineLevel="0" collapsed="false">
      <c r="A2" s="2" t="s">
        <v>81</v>
      </c>
    </row>
    <row r="3" customFormat="false" ht="15" hidden="false" customHeight="false" outlineLevel="0" collapsed="false">
      <c r="A3" s="19" t="s">
        <v>82</v>
      </c>
      <c r="B3" s="19" t="s">
        <v>83</v>
      </c>
      <c r="C3" s="19" t="s">
        <v>84</v>
      </c>
      <c r="D3" s="19" t="s">
        <v>85</v>
      </c>
      <c r="E3" s="19" t="s">
        <v>86</v>
      </c>
      <c r="F3" s="19" t="s">
        <v>87</v>
      </c>
      <c r="G3" s="19" t="s">
        <v>88</v>
      </c>
      <c r="H3" s="19" t="s">
        <v>89</v>
      </c>
      <c r="I3" s="19" t="s">
        <v>90</v>
      </c>
      <c r="J3" s="19" t="s">
        <v>91</v>
      </c>
    </row>
    <row r="4" customFormat="false" ht="23.85" hidden="false" customHeight="false" outlineLevel="0" collapsed="false">
      <c r="A4" s="15" t="s">
        <v>92</v>
      </c>
      <c r="B4" s="16" t="s">
        <v>93</v>
      </c>
      <c r="C4" s="16" t="s">
        <v>94</v>
      </c>
      <c r="D4" s="15" t="s">
        <v>95</v>
      </c>
      <c r="E4" s="11" t="n">
        <v>5.28E-010</v>
      </c>
      <c r="F4" s="20"/>
      <c r="G4" s="11" t="n">
        <v>1.94E-007</v>
      </c>
      <c r="H4" s="11" t="str">
        <f aca="false">IF(F4="","",E4*F4/2)</f>
        <v/>
      </c>
      <c r="I4" s="21" t="s">
        <v>96</v>
      </c>
      <c r="J4" s="21" t="s">
        <v>97</v>
      </c>
    </row>
    <row r="5" customFormat="false" ht="23.85" hidden="false" customHeight="false" outlineLevel="0" collapsed="false">
      <c r="A5" s="15" t="s">
        <v>98</v>
      </c>
      <c r="B5" s="15" t="s">
        <v>99</v>
      </c>
      <c r="C5" s="15" t="s">
        <v>100</v>
      </c>
      <c r="D5" s="15" t="s">
        <v>95</v>
      </c>
      <c r="E5" s="11" t="n">
        <v>9.7E-005</v>
      </c>
      <c r="F5" s="20" t="n">
        <v>720</v>
      </c>
      <c r="G5" s="11" t="n">
        <v>0.035</v>
      </c>
      <c r="H5" s="11" t="n">
        <f aca="false">IF(F5="","",E5*F5/2)</f>
        <v>0.03492</v>
      </c>
      <c r="I5" s="21" t="s">
        <v>96</v>
      </c>
      <c r="J5" s="22" t="s">
        <v>101</v>
      </c>
    </row>
    <row r="6" customFormat="false" ht="23.85" hidden="false" customHeight="false" outlineLevel="0" collapsed="false">
      <c r="A6" s="15" t="s">
        <v>98</v>
      </c>
      <c r="B6" s="15" t="s">
        <v>102</v>
      </c>
      <c r="C6" s="15" t="s">
        <v>103</v>
      </c>
      <c r="D6" s="15" t="s">
        <v>95</v>
      </c>
      <c r="E6" s="11" t="n">
        <v>0.00012</v>
      </c>
      <c r="F6" s="20" t="n">
        <v>720</v>
      </c>
      <c r="G6" s="11" t="n">
        <v>0.0433</v>
      </c>
      <c r="H6" s="11" t="n">
        <f aca="false">IF(F6="","",E6*F6/2)</f>
        <v>0.0432</v>
      </c>
      <c r="I6" s="21" t="s">
        <v>96</v>
      </c>
      <c r="J6" s="22" t="s">
        <v>101</v>
      </c>
    </row>
    <row r="7" customFormat="false" ht="23.85" hidden="false" customHeight="false" outlineLevel="0" collapsed="false">
      <c r="A7" s="15" t="s">
        <v>98</v>
      </c>
      <c r="B7" s="15" t="s">
        <v>104</v>
      </c>
      <c r="C7" s="15" t="s">
        <v>105</v>
      </c>
      <c r="D7" s="15" t="s">
        <v>95</v>
      </c>
      <c r="E7" s="11" t="n">
        <v>0.00019</v>
      </c>
      <c r="F7" s="20" t="n">
        <v>720</v>
      </c>
      <c r="G7" s="11" t="n">
        <v>0.0685</v>
      </c>
      <c r="H7" s="11" t="n">
        <f aca="false">IF(F7="","",E7*F7/2)</f>
        <v>0.0684</v>
      </c>
      <c r="I7" s="21" t="s">
        <v>96</v>
      </c>
      <c r="J7" s="22" t="s">
        <v>101</v>
      </c>
    </row>
    <row r="8" customFormat="false" ht="23.85" hidden="false" customHeight="false" outlineLevel="0" collapsed="false">
      <c r="A8" s="15" t="s">
        <v>98</v>
      </c>
      <c r="B8" s="15" t="s">
        <v>106</v>
      </c>
      <c r="C8" s="15" t="s">
        <v>107</v>
      </c>
      <c r="D8" s="15" t="s">
        <v>95</v>
      </c>
      <c r="E8" s="11" t="n">
        <v>0.00022</v>
      </c>
      <c r="F8" s="20" t="n">
        <v>720</v>
      </c>
      <c r="G8" s="11" t="n">
        <v>0.0793</v>
      </c>
      <c r="H8" s="11" t="n">
        <f aca="false">IF(F8="","",E8*F8/2)</f>
        <v>0.0792</v>
      </c>
      <c r="I8" s="21" t="s">
        <v>96</v>
      </c>
      <c r="J8" s="22" t="s">
        <v>101</v>
      </c>
    </row>
    <row r="9" customFormat="false" ht="23.85" hidden="false" customHeight="false" outlineLevel="0" collapsed="false">
      <c r="A9" s="15" t="s">
        <v>98</v>
      </c>
      <c r="B9" s="15" t="s">
        <v>108</v>
      </c>
      <c r="C9" s="15" t="s">
        <v>109</v>
      </c>
      <c r="D9" s="15" t="s">
        <v>95</v>
      </c>
      <c r="E9" s="11" t="n">
        <v>0.00097</v>
      </c>
      <c r="F9" s="20"/>
      <c r="G9" s="11" t="n">
        <v>0.093</v>
      </c>
      <c r="H9" s="11" t="str">
        <f aca="false">IF(F9="","",E9*F9/2)</f>
        <v/>
      </c>
      <c r="I9" s="21" t="s">
        <v>96</v>
      </c>
      <c r="J9" s="22"/>
    </row>
    <row r="10" customFormat="false" ht="23.85" hidden="false" customHeight="false" outlineLevel="0" collapsed="false">
      <c r="A10" s="15" t="s">
        <v>110</v>
      </c>
      <c r="B10" s="15" t="s">
        <v>111</v>
      </c>
      <c r="C10" s="15" t="s">
        <v>112</v>
      </c>
      <c r="D10" s="15" t="s">
        <v>95</v>
      </c>
      <c r="E10" s="11" t="n">
        <v>7.7E-007</v>
      </c>
      <c r="F10" s="20"/>
      <c r="G10" s="11" t="n">
        <v>9.3E-006</v>
      </c>
      <c r="H10" s="11" t="str">
        <f aca="false">IF(F10="","",E10*F10/2)</f>
        <v/>
      </c>
      <c r="I10" s="21" t="s">
        <v>96</v>
      </c>
      <c r="J10" s="22"/>
    </row>
    <row r="11" customFormat="false" ht="23.85" hidden="false" customHeight="false" outlineLevel="0" collapsed="false">
      <c r="A11" s="15" t="s">
        <v>113</v>
      </c>
      <c r="B11" s="15" t="s">
        <v>114</v>
      </c>
      <c r="C11" s="15" t="s">
        <v>115</v>
      </c>
      <c r="D11" s="15" t="s">
        <v>95</v>
      </c>
      <c r="E11" s="11" t="n">
        <v>2E-006</v>
      </c>
      <c r="F11" s="20"/>
      <c r="G11" s="11" t="n">
        <v>0.00069</v>
      </c>
      <c r="H11" s="11" t="str">
        <f aca="false">IF(F11="","",E11*F11/2)</f>
        <v/>
      </c>
      <c r="I11" s="21" t="s">
        <v>96</v>
      </c>
      <c r="J11" s="22" t="s">
        <v>116</v>
      </c>
    </row>
    <row r="12" customFormat="false" ht="23.85" hidden="false" customHeight="false" outlineLevel="0" collapsed="false">
      <c r="A12" s="15" t="s">
        <v>117</v>
      </c>
      <c r="B12" s="15" t="s">
        <v>118</v>
      </c>
      <c r="C12" s="15" t="s">
        <v>119</v>
      </c>
      <c r="D12" s="15" t="s">
        <v>95</v>
      </c>
      <c r="E12" s="11" t="n">
        <v>3.6E-006</v>
      </c>
      <c r="F12" s="20"/>
      <c r="G12" s="11" t="n">
        <v>0.0022</v>
      </c>
      <c r="H12" s="11" t="str">
        <f aca="false">IF(F12="","",E12*F12/2)</f>
        <v/>
      </c>
      <c r="I12" s="21" t="s">
        <v>96</v>
      </c>
      <c r="J12" s="22" t="s">
        <v>120</v>
      </c>
    </row>
    <row r="13" customFormat="false" ht="23.85" hidden="false" customHeight="false" outlineLevel="0" collapsed="false">
      <c r="A13" s="15" t="s">
        <v>117</v>
      </c>
      <c r="B13" s="15" t="s">
        <v>121</v>
      </c>
      <c r="C13" s="15" t="s">
        <v>122</v>
      </c>
      <c r="D13" s="15" t="s">
        <v>95</v>
      </c>
      <c r="E13" s="11" t="n">
        <v>4.9E-005</v>
      </c>
      <c r="F13" s="20"/>
      <c r="G13" s="11" t="n">
        <v>0.0029</v>
      </c>
      <c r="H13" s="11" t="str">
        <f aca="false">IF(F13="","",E13*F13/2)</f>
        <v/>
      </c>
      <c r="I13" s="21" t="s">
        <v>96</v>
      </c>
      <c r="J13" s="22"/>
    </row>
    <row r="14" customFormat="false" ht="23.85" hidden="false" customHeight="false" outlineLevel="0" collapsed="false">
      <c r="A14" s="15" t="s">
        <v>123</v>
      </c>
      <c r="B14" s="15" t="s">
        <v>124</v>
      </c>
      <c r="C14" s="15" t="s">
        <v>125</v>
      </c>
      <c r="D14" s="15" t="s">
        <v>95</v>
      </c>
      <c r="E14" s="11" t="n">
        <v>4.4E-005</v>
      </c>
      <c r="F14" s="20"/>
      <c r="G14" s="11" t="n">
        <v>0.002</v>
      </c>
      <c r="H14" s="11" t="str">
        <f aca="false">IF(F14="","",E14*F14/2)</f>
        <v/>
      </c>
      <c r="I14" s="21" t="s">
        <v>96</v>
      </c>
      <c r="J14" s="22"/>
    </row>
    <row r="15" customFormat="false" ht="23.85" hidden="false" customHeight="false" outlineLevel="0" collapsed="false">
      <c r="A15" s="15" t="s">
        <v>123</v>
      </c>
      <c r="B15" s="15" t="s">
        <v>126</v>
      </c>
      <c r="C15" s="15" t="s">
        <v>127</v>
      </c>
      <c r="D15" s="15" t="s">
        <v>95</v>
      </c>
      <c r="E15" s="11" t="n">
        <v>2.8E-005</v>
      </c>
      <c r="F15" s="20"/>
      <c r="G15" s="11" t="n">
        <v>0</v>
      </c>
      <c r="H15" s="11" t="str">
        <f aca="false">IF(F15="","",E15*F15/2)</f>
        <v/>
      </c>
      <c r="I15" s="21" t="s">
        <v>96</v>
      </c>
      <c r="J15" s="22" t="s">
        <v>128</v>
      </c>
    </row>
    <row r="16" customFormat="false" ht="23.85" hidden="false" customHeight="false" outlineLevel="0" collapsed="false">
      <c r="A16" s="15" t="s">
        <v>123</v>
      </c>
      <c r="B16" s="15" t="s">
        <v>129</v>
      </c>
      <c r="C16" s="15" t="s">
        <v>130</v>
      </c>
      <c r="D16" s="15" t="s">
        <v>95</v>
      </c>
      <c r="E16" s="11" t="n">
        <v>3.2E-006</v>
      </c>
      <c r="F16" s="20"/>
      <c r="G16" s="11" t="n">
        <v>0.0022</v>
      </c>
      <c r="H16" s="11" t="str">
        <f aca="false">IF(F16="","",E16*F16/2)</f>
        <v/>
      </c>
      <c r="I16" s="21" t="s">
        <v>96</v>
      </c>
      <c r="J16" s="22"/>
    </row>
    <row r="17" customFormat="false" ht="23.85" hidden="false" customHeight="false" outlineLevel="0" collapsed="false">
      <c r="A17" s="15" t="s">
        <v>123</v>
      </c>
      <c r="B17" s="15" t="s">
        <v>131</v>
      </c>
      <c r="C17" s="15" t="s">
        <v>70</v>
      </c>
      <c r="D17" s="15" t="s">
        <v>95</v>
      </c>
      <c r="E17" s="11" t="n">
        <v>1.7E-006</v>
      </c>
      <c r="F17" s="20"/>
      <c r="G17" s="11" t="n">
        <v>0.00022</v>
      </c>
      <c r="H17" s="11" t="str">
        <f aca="false">IF(F17="","",E17*F17/2)</f>
        <v/>
      </c>
      <c r="I17" s="21" t="s">
        <v>96</v>
      </c>
      <c r="J17" s="22"/>
    </row>
    <row r="18" customFormat="false" ht="23.85" hidden="false" customHeight="false" outlineLevel="0" collapsed="false">
      <c r="A18" s="15" t="s">
        <v>132</v>
      </c>
      <c r="B18" s="15" t="s">
        <v>133</v>
      </c>
      <c r="C18" s="15" t="s">
        <v>132</v>
      </c>
      <c r="D18" s="15" t="s">
        <v>134</v>
      </c>
      <c r="E18" s="11"/>
      <c r="F18" s="20"/>
      <c r="G18" s="11" t="n">
        <v>0.0001</v>
      </c>
      <c r="H18" s="11" t="str">
        <f aca="false">IF(F18="","",E18*F18/2)</f>
        <v/>
      </c>
      <c r="I18" s="21" t="s">
        <v>96</v>
      </c>
      <c r="J18" s="22"/>
    </row>
    <row r="19" customFormat="false" ht="23.85" hidden="false" customHeight="false" outlineLevel="0" collapsed="false">
      <c r="A19" s="15" t="s">
        <v>132</v>
      </c>
      <c r="B19" s="15" t="s">
        <v>135</v>
      </c>
      <c r="C19" s="15" t="s">
        <v>132</v>
      </c>
      <c r="D19" s="15" t="s">
        <v>136</v>
      </c>
      <c r="E19" s="11"/>
      <c r="F19" s="20"/>
      <c r="G19" s="11" t="n">
        <v>0.3</v>
      </c>
      <c r="H19" s="11" t="str">
        <f aca="false">IF(F19="","",E19*F19/2)</f>
        <v/>
      </c>
      <c r="I19" s="21" t="s">
        <v>96</v>
      </c>
      <c r="J19" s="22"/>
    </row>
    <row r="20" customFormat="false" ht="23.85" hidden="false" customHeight="false" outlineLevel="0" collapsed="false">
      <c r="A20" s="15" t="s">
        <v>132</v>
      </c>
      <c r="B20" s="15" t="s">
        <v>137</v>
      </c>
      <c r="C20" s="15" t="s">
        <v>132</v>
      </c>
      <c r="D20" s="15" t="s">
        <v>138</v>
      </c>
      <c r="E20" s="11"/>
      <c r="F20" s="20"/>
      <c r="G20" s="11" t="n">
        <v>0.006</v>
      </c>
      <c r="H20" s="11" t="str">
        <f aca="false">IF(F20="","",E20*F20/2)</f>
        <v/>
      </c>
      <c r="I20" s="21" t="s">
        <v>96</v>
      </c>
      <c r="J20" s="22"/>
    </row>
    <row r="21" customFormat="false" ht="23.85" hidden="false" customHeight="false" outlineLevel="0" collapsed="false">
      <c r="A21" s="15" t="s">
        <v>132</v>
      </c>
      <c r="B21" s="15" t="s">
        <v>139</v>
      </c>
      <c r="C21" s="15" t="s">
        <v>132</v>
      </c>
      <c r="D21" s="15" t="s">
        <v>140</v>
      </c>
      <c r="E21" s="11"/>
      <c r="F21" s="20"/>
      <c r="G21" s="11" t="n">
        <v>0.0003</v>
      </c>
      <c r="H21" s="11" t="str">
        <f aca="false">IF(F21="","",E21*F21/2)</f>
        <v/>
      </c>
      <c r="I21" s="21" t="s">
        <v>96</v>
      </c>
      <c r="J21" s="22"/>
    </row>
    <row r="22" customFormat="false" ht="15" hidden="false" customHeight="false" outlineLevel="0" collapsed="false">
      <c r="A22" s="23"/>
      <c r="B22" s="23"/>
      <c r="C22" s="23"/>
      <c r="D22" s="23"/>
      <c r="E22" s="23"/>
      <c r="F22" s="23"/>
      <c r="G22" s="23"/>
      <c r="H22" s="24"/>
      <c r="I22" s="24"/>
      <c r="J22" s="24"/>
    </row>
    <row r="23" customFormat="false" ht="15" hidden="false" customHeight="false" outlineLevel="0" collapsed="false">
      <c r="A23" s="23"/>
      <c r="B23" s="23"/>
      <c r="C23" s="23"/>
      <c r="D23" s="23"/>
      <c r="E23" s="23"/>
      <c r="F23" s="23"/>
      <c r="G23" s="23"/>
      <c r="H23" s="24"/>
      <c r="I23" s="24"/>
      <c r="J23" s="24"/>
    </row>
    <row r="24" customFormat="false" ht="15" hidden="false" customHeight="false" outlineLevel="0" collapsed="false">
      <c r="A24" s="23"/>
      <c r="B24" s="23"/>
      <c r="C24" s="23"/>
      <c r="D24" s="23"/>
      <c r="E24" s="23"/>
      <c r="F24" s="23"/>
      <c r="G24" s="23"/>
      <c r="H24" s="24"/>
      <c r="I24" s="24"/>
      <c r="J24" s="24"/>
    </row>
    <row r="25" customFormat="false" ht="15" hidden="false" customHeight="false" outlineLevel="0" collapsed="false">
      <c r="A25" s="23"/>
      <c r="B25" s="23"/>
      <c r="C25" s="23"/>
      <c r="D25" s="23"/>
      <c r="E25" s="23"/>
      <c r="F25" s="23"/>
      <c r="G25" s="23"/>
      <c r="H25" s="24"/>
      <c r="I25" s="24"/>
      <c r="J25" s="24"/>
    </row>
    <row r="26" customFormat="false" ht="15" hidden="false" customHeight="false" outlineLevel="0" collapsed="false">
      <c r="A26" s="23"/>
      <c r="B26" s="23"/>
      <c r="C26" s="23"/>
      <c r="D26" s="23"/>
      <c r="E26" s="23"/>
      <c r="F26" s="23"/>
      <c r="G26" s="23"/>
      <c r="H26" s="24"/>
      <c r="I26" s="24"/>
      <c r="J26" s="24"/>
    </row>
    <row r="27" customFormat="false" ht="15" hidden="false" customHeight="false" outlineLevel="0" collapsed="false">
      <c r="A27" s="23"/>
      <c r="B27" s="23"/>
      <c r="C27" s="23"/>
      <c r="D27" s="23"/>
      <c r="E27" s="23"/>
      <c r="F27" s="23"/>
      <c r="G27" s="23"/>
      <c r="H27" s="24"/>
      <c r="I27" s="24"/>
      <c r="J27" s="24"/>
    </row>
    <row r="28" customFormat="false" ht="15" hidden="false" customHeight="false" outlineLevel="0" collapsed="false">
      <c r="A28" s="2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8" min="3" style="0" width="22"/>
    <col collapsed="false" customWidth="true" hidden="false" outlineLevel="0" max="14" min="9" style="0" width="11"/>
    <col collapsed="false" customWidth="true" hidden="false" outlineLevel="0" max="15" min="15" style="0" width="8"/>
    <col collapsed="false" customWidth="true" hidden="false" outlineLevel="0" max="17" min="16" style="0" width="12"/>
    <col collapsed="false" customWidth="true" hidden="false" outlineLevel="0" max="18" min="18" style="0" width="7"/>
    <col collapsed="false" customWidth="true" hidden="false" outlineLevel="0" max="20" min="19" style="0" width="12"/>
    <col collapsed="false" customWidth="true" hidden="false" outlineLevel="0" max="21" min="21" style="0" width="15"/>
  </cols>
  <sheetData>
    <row r="1" customFormat="false" ht="17.35" hidden="false" customHeight="false" outlineLevel="0" collapsed="false">
      <c r="A1" s="18" t="s">
        <v>142</v>
      </c>
    </row>
    <row r="2" customFormat="false" ht="15" hidden="false" customHeight="false" outlineLevel="0" collapsed="false">
      <c r="A2" s="2" t="s">
        <v>143</v>
      </c>
    </row>
    <row r="4" customFormat="false" ht="15" hidden="false" customHeight="false" outlineLevel="0" collapsed="false">
      <c r="B4" s="8" t="s">
        <v>144</v>
      </c>
    </row>
    <row r="5" customFormat="false" ht="25.35" hidden="false" customHeight="false" outlineLevel="0" collapsed="false">
      <c r="B5" s="15" t="s">
        <v>145</v>
      </c>
      <c r="C5" s="25" t="n">
        <v>8760</v>
      </c>
      <c r="D5" s="12" t="s">
        <v>146</v>
      </c>
    </row>
    <row r="7" customFormat="false" ht="15" hidden="false" customHeight="false" outlineLevel="0" collapsed="false">
      <c r="B7" s="8" t="s">
        <v>147</v>
      </c>
    </row>
    <row r="8" customFormat="false" ht="15" hidden="false" customHeight="false" outlineLevel="0" collapsed="false">
      <c r="B8" s="26" t="s">
        <v>148</v>
      </c>
      <c r="C8" s="27" t="s">
        <v>149</v>
      </c>
      <c r="D8" s="26" t="s">
        <v>150</v>
      </c>
    </row>
    <row r="9" customFormat="false" ht="15" hidden="false" customHeight="false" outlineLevel="0" collapsed="false">
      <c r="B9" s="28" t="s">
        <v>102</v>
      </c>
      <c r="C9" s="11" t="n">
        <f aca="false">IFERROR(INDEX(確率DB!$E$4:$E$27,MATCH(B9,確率DB!$B$4:$B$27,0)),0)</f>
        <v>0.00012</v>
      </c>
      <c r="D9" s="23" t="s">
        <v>151</v>
      </c>
    </row>
    <row r="10" customFormat="false" ht="15" hidden="false" customHeight="false" outlineLevel="0" collapsed="false">
      <c r="B10" s="23" t="s">
        <v>152</v>
      </c>
      <c r="C10" s="11" t="n">
        <f aca="false">IFERROR(INDEX(確率DB!$E$4:$E$27,MATCH(B10,確率DB!$B$4:$B$27,0)),0)</f>
        <v>5.28E-010</v>
      </c>
      <c r="D10" s="28" t="s">
        <v>153</v>
      </c>
    </row>
    <row r="11" customFormat="false" ht="15" hidden="false" customHeight="false" outlineLevel="0" collapsed="false">
      <c r="B11" s="28" t="s">
        <v>118</v>
      </c>
      <c r="C11" s="11" t="n">
        <f aca="false">IFERROR(INDEX(確率DB!$E$4:$E$27,MATCH(B11,確率DB!$B$4:$B$27,0)),0)</f>
        <v>3.6E-006</v>
      </c>
      <c r="D11" s="28" t="s">
        <v>154</v>
      </c>
    </row>
    <row r="12" customFormat="false" ht="15" hidden="false" customHeight="false" outlineLevel="0" collapsed="false">
      <c r="B12" s="23"/>
      <c r="C12" s="11" t="n">
        <f aca="false">IFERROR(INDEX(確率DB!$E$4:$E$27,MATCH(B12,確率DB!$B$4:$B$27,0)),0)</f>
        <v>0</v>
      </c>
      <c r="D12" s="23"/>
    </row>
    <row r="13" customFormat="false" ht="15" hidden="false" customHeight="false" outlineLevel="0" collapsed="false">
      <c r="B13" s="29" t="s">
        <v>155</v>
      </c>
      <c r="C13" s="30" t="n">
        <f aca="false">SUM(C9:C12)</f>
        <v>0.000123600528</v>
      </c>
    </row>
    <row r="14" customFormat="false" ht="15" hidden="false" customHeight="false" outlineLevel="0" collapsed="false">
      <c r="B14" s="31" t="s">
        <v>156</v>
      </c>
      <c r="C14" s="30" t="n">
        <f aca="false">C13*$C$5</f>
        <v>1.08274062528</v>
      </c>
    </row>
    <row r="16" customFormat="false" ht="15" hidden="false" customHeight="false" outlineLevel="0" collapsed="false">
      <c r="B16" s="8" t="s">
        <v>157</v>
      </c>
    </row>
    <row r="17" customFormat="false" ht="15" hidden="false" customHeight="false" outlineLevel="0" collapsed="false">
      <c r="B17" s="2" t="s">
        <v>158</v>
      </c>
    </row>
    <row r="18" customFormat="false" ht="30" hidden="false" customHeight="true" outlineLevel="0" collapsed="false">
      <c r="A18" s="19" t="s">
        <v>159</v>
      </c>
      <c r="B18" s="19" t="s">
        <v>160</v>
      </c>
      <c r="C18" s="19" t="s">
        <v>161</v>
      </c>
      <c r="D18" s="19" t="s">
        <v>162</v>
      </c>
      <c r="E18" s="19" t="s">
        <v>163</v>
      </c>
      <c r="F18" s="19" t="s">
        <v>164</v>
      </c>
      <c r="G18" s="19" t="s">
        <v>165</v>
      </c>
      <c r="H18" s="19" t="s">
        <v>166</v>
      </c>
      <c r="I18" s="32" t="s">
        <v>167</v>
      </c>
      <c r="J18" s="32" t="s">
        <v>168</v>
      </c>
      <c r="K18" s="32" t="s">
        <v>169</v>
      </c>
      <c r="L18" s="32" t="s">
        <v>170</v>
      </c>
      <c r="M18" s="32" t="s">
        <v>171</v>
      </c>
      <c r="N18" s="32" t="s">
        <v>172</v>
      </c>
      <c r="O18" s="19" t="s">
        <v>173</v>
      </c>
      <c r="P18" s="19" t="s">
        <v>174</v>
      </c>
      <c r="Q18" s="19" t="s">
        <v>175</v>
      </c>
      <c r="R18" s="19" t="s">
        <v>176</v>
      </c>
      <c r="S18" s="19" t="s">
        <v>177</v>
      </c>
      <c r="T18" s="19" t="s">
        <v>178</v>
      </c>
      <c r="U18" s="19" t="s">
        <v>179</v>
      </c>
    </row>
    <row r="19" customFormat="false" ht="30" hidden="false" customHeight="true" outlineLevel="0" collapsed="false">
      <c r="A19" s="33" t="n">
        <v>1</v>
      </c>
      <c r="B19" s="34" t="s">
        <v>180</v>
      </c>
      <c r="C19" s="35" t="s">
        <v>104</v>
      </c>
      <c r="D19" s="34" t="s">
        <v>152</v>
      </c>
      <c r="E19" s="35" t="s">
        <v>111</v>
      </c>
      <c r="F19" s="35" t="s">
        <v>133</v>
      </c>
      <c r="G19" s="35" t="s">
        <v>181</v>
      </c>
      <c r="H19" s="34"/>
      <c r="I19" s="11" t="n">
        <f aca="false">IFERROR(INDEX(確率DB!$G$4:$G$27,MATCH(C19,確率DB!$B$4:$B$27,0)),0)</f>
        <v>0.0685</v>
      </c>
      <c r="J19" s="11" t="n">
        <f aca="false">IFERROR(INDEX(確率DB!$G$4:$G$27,MATCH(D19,確率DB!$B$4:$B$27,0)),0)</f>
        <v>1.94E-007</v>
      </c>
      <c r="K19" s="11" t="n">
        <f aca="false">IFERROR(INDEX(確率DB!$G$4:$G$27,MATCH(E19,確率DB!$B$4:$B$27,0)),0)</f>
        <v>9.3E-006</v>
      </c>
      <c r="L19" s="11" t="n">
        <f aca="false">IFERROR(INDEX(確率DB!$G$4:$G$27,MATCH(F19,確率DB!$B$4:$B$27,0)),0)</f>
        <v>0.0001</v>
      </c>
      <c r="M19" s="11" t="n">
        <f aca="false">IFERROR(INDEX(確率DB!$G$4:$G$27,MATCH(G19,確率DB!$B$4:$B$27,0)),0)</f>
        <v>0.3</v>
      </c>
      <c r="N19" s="11" t="n">
        <f aca="false">IFERROR(INDEX(確率DB!$G$4:$G$27,MATCH(H19,確率DB!$B$4:$B$27,0)),0)</f>
        <v>0</v>
      </c>
      <c r="O19" s="36" t="s">
        <v>182</v>
      </c>
      <c r="P19" s="11" t="n">
        <f aca="false">IF(O19="AND",IF(C19="",1,I19)*IF(D19="",1,J19)*IF(E19="",1,K19)*IF(F19="",1,L19)*IF(G19="",1,M19)*IF(H19="",1,N19),MIN(1,SUM(I19:N19)))</f>
        <v>0.368609494</v>
      </c>
      <c r="Q19" s="37"/>
      <c r="R19" s="36" t="n">
        <v>1</v>
      </c>
      <c r="S19" s="11" t="n">
        <f aca="false">IF($B19="",1,IF($R19=0,1,IF($Q19&lt;&gt;"",$Q19,$P19)))</f>
        <v>0.368609494</v>
      </c>
      <c r="T19" s="38" t="n">
        <f aca="false">IF(S19&gt;=1,"-",ROUND(1/S19,1))</f>
        <v>2.7</v>
      </c>
      <c r="U19" s="11" t="n">
        <f aca="false">$C$14*S19</f>
        <v>0.399108474017704</v>
      </c>
    </row>
    <row r="20" customFormat="false" ht="30" hidden="false" customHeight="true" outlineLevel="0" collapsed="false">
      <c r="A20" s="33" t="n">
        <v>2</v>
      </c>
      <c r="B20" s="34" t="s">
        <v>183</v>
      </c>
      <c r="C20" s="35" t="s">
        <v>106</v>
      </c>
      <c r="D20" s="35" t="s">
        <v>114</v>
      </c>
      <c r="E20" s="35" t="s">
        <v>118</v>
      </c>
      <c r="F20" s="34"/>
      <c r="G20" s="34"/>
      <c r="H20" s="34"/>
      <c r="I20" s="11" t="n">
        <f aca="false">IFERROR(INDEX(確率DB!$G$4:$G$27,MATCH(C20,確率DB!$B$4:$B$27,0)),0)</f>
        <v>0.0793</v>
      </c>
      <c r="J20" s="11" t="n">
        <f aca="false">IFERROR(INDEX(確率DB!$G$4:$G$27,MATCH(D20,確率DB!$B$4:$B$27,0)),0)</f>
        <v>0.00069</v>
      </c>
      <c r="K20" s="11" t="n">
        <f aca="false">IFERROR(INDEX(確率DB!$G$4:$G$27,MATCH(E20,確率DB!$B$4:$B$27,0)),0)</f>
        <v>0.0022</v>
      </c>
      <c r="L20" s="11" t="n">
        <f aca="false">IFERROR(INDEX(確率DB!$G$4:$G$27,MATCH(F20,確率DB!$B$4:$B$27,0)),0)</f>
        <v>0</v>
      </c>
      <c r="M20" s="11" t="n">
        <f aca="false">IFERROR(INDEX(確率DB!$G$4:$G$27,MATCH(G20,確率DB!$B$4:$B$27,0)),0)</f>
        <v>0</v>
      </c>
      <c r="N20" s="11" t="n">
        <f aca="false">IFERROR(INDEX(確率DB!$G$4:$G$27,MATCH(H20,確率DB!$B$4:$B$27,0)),0)</f>
        <v>0</v>
      </c>
      <c r="O20" s="36" t="s">
        <v>182</v>
      </c>
      <c r="P20" s="11" t="n">
        <f aca="false">IF(O20="AND",IF(C20="",1,I20)*IF(D20="",1,J20)*IF(E20="",1,K20)*IF(F20="",1,L20)*IF(G20="",1,M20)*IF(H20="",1,N20),MIN(1,SUM(I20:N20)))</f>
        <v>0.08219</v>
      </c>
      <c r="Q20" s="37"/>
      <c r="R20" s="36" t="n">
        <v>1</v>
      </c>
      <c r="S20" s="11" t="n">
        <f aca="false">IF($B20="",1,IF($R20=0,1,IF($Q20&lt;&gt;"",$Q20,$P20)))</f>
        <v>0.08219</v>
      </c>
      <c r="T20" s="38" t="n">
        <f aca="false">IF(S20&gt;=1,"-",ROUND(1/S20,1))</f>
        <v>12.2</v>
      </c>
      <c r="U20" s="11" t="n">
        <f aca="false">U19*S20</f>
        <v>0.0328027254795151</v>
      </c>
    </row>
    <row r="21" customFormat="false" ht="30" hidden="false" customHeight="true" outlineLevel="0" collapsed="false">
      <c r="A21" s="33" t="n">
        <v>3</v>
      </c>
      <c r="B21" s="34"/>
      <c r="C21" s="34"/>
      <c r="D21" s="34"/>
      <c r="E21" s="34"/>
      <c r="F21" s="34"/>
      <c r="G21" s="34"/>
      <c r="H21" s="34"/>
      <c r="I21" s="11" t="n">
        <f aca="false">IFERROR(INDEX(確率DB!$G$4:$G$27,MATCH(C21,確率DB!$B$4:$B$27,0)),0)</f>
        <v>0</v>
      </c>
      <c r="J21" s="11" t="n">
        <f aca="false">IFERROR(INDEX(確率DB!$G$4:$G$27,MATCH(D21,確率DB!$B$4:$B$27,0)),0)</f>
        <v>0</v>
      </c>
      <c r="K21" s="11" t="n">
        <f aca="false">IFERROR(INDEX(確率DB!$G$4:$G$27,MATCH(E21,確率DB!$B$4:$B$27,0)),0)</f>
        <v>0</v>
      </c>
      <c r="L21" s="11" t="n">
        <f aca="false">IFERROR(INDEX(確率DB!$G$4:$G$27,MATCH(F21,確率DB!$B$4:$B$27,0)),0)</f>
        <v>0</v>
      </c>
      <c r="M21" s="11" t="n">
        <f aca="false">IFERROR(INDEX(確率DB!$G$4:$G$27,MATCH(G21,確率DB!$B$4:$B$27,0)),0)</f>
        <v>0</v>
      </c>
      <c r="N21" s="11" t="n">
        <f aca="false">IFERROR(INDEX(確率DB!$G$4:$G$27,MATCH(H21,確率DB!$B$4:$B$27,0)),0)</f>
        <v>0</v>
      </c>
      <c r="O21" s="36" t="s">
        <v>182</v>
      </c>
      <c r="P21" s="11" t="n">
        <f aca="false">IF(O21="AND",IF(C21="",1,I21)*IF(D21="",1,J21)*IF(E21="",1,K21)*IF(F21="",1,L21)*IF(G21="",1,M21)*IF(H21="",1,N21),MIN(1,SUM(I21:N21)))</f>
        <v>0</v>
      </c>
      <c r="Q21" s="37"/>
      <c r="R21" s="36" t="n">
        <v>1</v>
      </c>
      <c r="S21" s="11" t="n">
        <f aca="false">IF($B21="",1,IF($R21=0,1,IF($Q21&lt;&gt;"",$Q21,$P21)))</f>
        <v>1</v>
      </c>
      <c r="T21" s="38" t="str">
        <f aca="false">IF(S21&gt;=1,"-",ROUND(1/S21,1))</f>
        <v>-</v>
      </c>
      <c r="U21" s="11" t="n">
        <f aca="false">U20*S21</f>
        <v>0.0328027254795151</v>
      </c>
    </row>
    <row r="22" customFormat="false" ht="30" hidden="false" customHeight="true" outlineLevel="0" collapsed="false">
      <c r="A22" s="33" t="n">
        <v>4</v>
      </c>
      <c r="B22" s="34"/>
      <c r="C22" s="34"/>
      <c r="D22" s="34"/>
      <c r="E22" s="34"/>
      <c r="F22" s="34"/>
      <c r="G22" s="34"/>
      <c r="H22" s="34"/>
      <c r="I22" s="11" t="n">
        <f aca="false">IFERROR(INDEX(確率DB!$G$4:$G$27,MATCH(C22,確率DB!$B$4:$B$27,0)),0)</f>
        <v>0</v>
      </c>
      <c r="J22" s="11" t="n">
        <f aca="false">IFERROR(INDEX(確率DB!$G$4:$G$27,MATCH(D22,確率DB!$B$4:$B$27,0)),0)</f>
        <v>0</v>
      </c>
      <c r="K22" s="11" t="n">
        <f aca="false">IFERROR(INDEX(確率DB!$G$4:$G$27,MATCH(E22,確率DB!$B$4:$B$27,0)),0)</f>
        <v>0</v>
      </c>
      <c r="L22" s="11" t="n">
        <f aca="false">IFERROR(INDEX(確率DB!$G$4:$G$27,MATCH(F22,確率DB!$B$4:$B$27,0)),0)</f>
        <v>0</v>
      </c>
      <c r="M22" s="11" t="n">
        <f aca="false">IFERROR(INDEX(確率DB!$G$4:$G$27,MATCH(G22,確率DB!$B$4:$B$27,0)),0)</f>
        <v>0</v>
      </c>
      <c r="N22" s="11" t="n">
        <f aca="false">IFERROR(INDEX(確率DB!$G$4:$G$27,MATCH(H22,確率DB!$B$4:$B$27,0)),0)</f>
        <v>0</v>
      </c>
      <c r="O22" s="36" t="s">
        <v>182</v>
      </c>
      <c r="P22" s="11" t="n">
        <f aca="false">IF(O22="AND",IF(C22="",1,I22)*IF(D22="",1,J22)*IF(E22="",1,K22)*IF(F22="",1,L22)*IF(G22="",1,M22)*IF(H22="",1,N22),MIN(1,SUM(I22:N22)))</f>
        <v>0</v>
      </c>
      <c r="Q22" s="37"/>
      <c r="R22" s="36" t="n">
        <v>1</v>
      </c>
      <c r="S22" s="11" t="n">
        <f aca="false">IF($B22="",1,IF($R22=0,1,IF($Q22&lt;&gt;"",$Q22,$P22)))</f>
        <v>1</v>
      </c>
      <c r="T22" s="38" t="str">
        <f aca="false">IF(S22&gt;=1,"-",ROUND(1/S22,1))</f>
        <v>-</v>
      </c>
      <c r="U22" s="11" t="n">
        <f aca="false">U21*S22</f>
        <v>0.0328027254795151</v>
      </c>
    </row>
    <row r="23" customFormat="false" ht="30" hidden="false" customHeight="true" outlineLevel="0" collapsed="false">
      <c r="A23" s="33" t="n">
        <v>5</v>
      </c>
      <c r="B23" s="34"/>
      <c r="C23" s="34"/>
      <c r="D23" s="34"/>
      <c r="E23" s="34"/>
      <c r="F23" s="34"/>
      <c r="G23" s="34"/>
      <c r="H23" s="34"/>
      <c r="I23" s="11" t="n">
        <f aca="false">IFERROR(INDEX(確率DB!$G$4:$G$27,MATCH(C23,確率DB!$B$4:$B$27,0)),0)</f>
        <v>0</v>
      </c>
      <c r="J23" s="11" t="n">
        <f aca="false">IFERROR(INDEX(確率DB!$G$4:$G$27,MATCH(D23,確率DB!$B$4:$B$27,0)),0)</f>
        <v>0</v>
      </c>
      <c r="K23" s="11" t="n">
        <f aca="false">IFERROR(INDEX(確率DB!$G$4:$G$27,MATCH(E23,確率DB!$B$4:$B$27,0)),0)</f>
        <v>0</v>
      </c>
      <c r="L23" s="11" t="n">
        <f aca="false">IFERROR(INDEX(確率DB!$G$4:$G$27,MATCH(F23,確率DB!$B$4:$B$27,0)),0)</f>
        <v>0</v>
      </c>
      <c r="M23" s="11" t="n">
        <f aca="false">IFERROR(INDEX(確率DB!$G$4:$G$27,MATCH(G23,確率DB!$B$4:$B$27,0)),0)</f>
        <v>0</v>
      </c>
      <c r="N23" s="11" t="n">
        <f aca="false">IFERROR(INDEX(確率DB!$G$4:$G$27,MATCH(H23,確率DB!$B$4:$B$27,0)),0)</f>
        <v>0</v>
      </c>
      <c r="O23" s="36" t="s">
        <v>182</v>
      </c>
      <c r="P23" s="11" t="n">
        <f aca="false">IF(O23="AND",IF(C23="",1,I23)*IF(D23="",1,J23)*IF(E23="",1,K23)*IF(F23="",1,L23)*IF(G23="",1,M23)*IF(H23="",1,N23),MIN(1,SUM(I23:N23)))</f>
        <v>0</v>
      </c>
      <c r="Q23" s="37"/>
      <c r="R23" s="36" t="n">
        <v>1</v>
      </c>
      <c r="S23" s="11" t="n">
        <f aca="false">IF($B23="",1,IF($R23=0,1,IF($Q23&lt;&gt;"",$Q23,$P23)))</f>
        <v>1</v>
      </c>
      <c r="T23" s="38" t="str">
        <f aca="false">IF(S23&gt;=1,"-",ROUND(1/S23,1))</f>
        <v>-</v>
      </c>
      <c r="U23" s="11" t="n">
        <f aca="false">U22*S23</f>
        <v>0.0328027254795151</v>
      </c>
    </row>
    <row r="24" customFormat="false" ht="30" hidden="false" customHeight="true" outlineLevel="0" collapsed="false">
      <c r="A24" s="33" t="n">
        <v>6</v>
      </c>
      <c r="B24" s="34"/>
      <c r="C24" s="34"/>
      <c r="D24" s="34"/>
      <c r="E24" s="34"/>
      <c r="F24" s="34"/>
      <c r="G24" s="34"/>
      <c r="H24" s="34"/>
      <c r="I24" s="11" t="n">
        <f aca="false">IFERROR(INDEX(確率DB!$G$4:$G$27,MATCH(C24,確率DB!$B$4:$B$27,0)),0)</f>
        <v>0</v>
      </c>
      <c r="J24" s="11" t="n">
        <f aca="false">IFERROR(INDEX(確率DB!$G$4:$G$27,MATCH(D24,確率DB!$B$4:$B$27,0)),0)</f>
        <v>0</v>
      </c>
      <c r="K24" s="11" t="n">
        <f aca="false">IFERROR(INDEX(確率DB!$G$4:$G$27,MATCH(E24,確率DB!$B$4:$B$27,0)),0)</f>
        <v>0</v>
      </c>
      <c r="L24" s="11" t="n">
        <f aca="false">IFERROR(INDEX(確率DB!$G$4:$G$27,MATCH(F24,確率DB!$B$4:$B$27,0)),0)</f>
        <v>0</v>
      </c>
      <c r="M24" s="11" t="n">
        <f aca="false">IFERROR(INDEX(確率DB!$G$4:$G$27,MATCH(G24,確率DB!$B$4:$B$27,0)),0)</f>
        <v>0</v>
      </c>
      <c r="N24" s="11" t="n">
        <f aca="false">IFERROR(INDEX(確率DB!$G$4:$G$27,MATCH(H24,確率DB!$B$4:$B$27,0)),0)</f>
        <v>0</v>
      </c>
      <c r="O24" s="36" t="s">
        <v>182</v>
      </c>
      <c r="P24" s="11" t="n">
        <f aca="false">IF(O24="AND",IF(C24="",1,I24)*IF(D24="",1,J24)*IF(E24="",1,K24)*IF(F24="",1,L24)*IF(G24="",1,M24)*IF(H24="",1,N24),MIN(1,SUM(I24:N24)))</f>
        <v>0</v>
      </c>
      <c r="Q24" s="37"/>
      <c r="R24" s="36" t="n">
        <v>1</v>
      </c>
      <c r="S24" s="11" t="n">
        <f aca="false">IF($B24="",1,IF($R24=0,1,IF($Q24&lt;&gt;"",$Q24,$P24)))</f>
        <v>1</v>
      </c>
      <c r="T24" s="38" t="str">
        <f aca="false">IF(S24&gt;=1,"-",ROUND(1/S24,1))</f>
        <v>-</v>
      </c>
      <c r="U24" s="11" t="n">
        <f aca="false">U23*S24</f>
        <v>0.0328027254795151</v>
      </c>
    </row>
    <row r="25" customFormat="false" ht="30" hidden="false" customHeight="true" outlineLevel="0" collapsed="false">
      <c r="A25" s="33" t="n">
        <v>7</v>
      </c>
      <c r="B25" s="34"/>
      <c r="C25" s="34"/>
      <c r="D25" s="34"/>
      <c r="E25" s="34"/>
      <c r="F25" s="34"/>
      <c r="G25" s="34"/>
      <c r="H25" s="34"/>
      <c r="I25" s="11" t="n">
        <f aca="false">IFERROR(INDEX(確率DB!$G$4:$G$27,MATCH(C25,確率DB!$B$4:$B$27,0)),0)</f>
        <v>0</v>
      </c>
      <c r="J25" s="11" t="n">
        <f aca="false">IFERROR(INDEX(確率DB!$G$4:$G$27,MATCH(D25,確率DB!$B$4:$B$27,0)),0)</f>
        <v>0</v>
      </c>
      <c r="K25" s="11" t="n">
        <f aca="false">IFERROR(INDEX(確率DB!$G$4:$G$27,MATCH(E25,確率DB!$B$4:$B$27,0)),0)</f>
        <v>0</v>
      </c>
      <c r="L25" s="11" t="n">
        <f aca="false">IFERROR(INDEX(確率DB!$G$4:$G$27,MATCH(F25,確率DB!$B$4:$B$27,0)),0)</f>
        <v>0</v>
      </c>
      <c r="M25" s="11" t="n">
        <f aca="false">IFERROR(INDEX(確率DB!$G$4:$G$27,MATCH(G25,確率DB!$B$4:$B$27,0)),0)</f>
        <v>0</v>
      </c>
      <c r="N25" s="11" t="n">
        <f aca="false">IFERROR(INDEX(確率DB!$G$4:$G$27,MATCH(H25,確率DB!$B$4:$B$27,0)),0)</f>
        <v>0</v>
      </c>
      <c r="O25" s="36" t="s">
        <v>182</v>
      </c>
      <c r="P25" s="11" t="n">
        <f aca="false">IF(O25="AND",IF(C25="",1,I25)*IF(D25="",1,J25)*IF(E25="",1,K25)*IF(F25="",1,L25)*IF(G25="",1,M25)*IF(H25="",1,N25),MIN(1,SUM(I25:N25)))</f>
        <v>0</v>
      </c>
      <c r="Q25" s="37"/>
      <c r="R25" s="36" t="n">
        <v>1</v>
      </c>
      <c r="S25" s="11" t="n">
        <f aca="false">IF($B25="",1,IF($R25=0,1,IF($Q25&lt;&gt;"",$Q25,$P25)))</f>
        <v>1</v>
      </c>
      <c r="T25" s="38" t="str">
        <f aca="false">IF(S25&gt;=1,"-",ROUND(1/S25,1))</f>
        <v>-</v>
      </c>
      <c r="U25" s="11" t="n">
        <f aca="false">U24*S25</f>
        <v>0.0328027254795151</v>
      </c>
    </row>
    <row r="26" customFormat="false" ht="30" hidden="false" customHeight="true" outlineLevel="0" collapsed="false">
      <c r="A26" s="33" t="n">
        <v>8</v>
      </c>
      <c r="B26" s="34"/>
      <c r="C26" s="34"/>
      <c r="D26" s="34"/>
      <c r="E26" s="34"/>
      <c r="F26" s="34"/>
      <c r="G26" s="34"/>
      <c r="H26" s="34"/>
      <c r="I26" s="11" t="n">
        <f aca="false">IFERROR(INDEX(確率DB!$G$4:$G$27,MATCH(C26,確率DB!$B$4:$B$27,0)),0)</f>
        <v>0</v>
      </c>
      <c r="J26" s="11" t="n">
        <f aca="false">IFERROR(INDEX(確率DB!$G$4:$G$27,MATCH(D26,確率DB!$B$4:$B$27,0)),0)</f>
        <v>0</v>
      </c>
      <c r="K26" s="11" t="n">
        <f aca="false">IFERROR(INDEX(確率DB!$G$4:$G$27,MATCH(E26,確率DB!$B$4:$B$27,0)),0)</f>
        <v>0</v>
      </c>
      <c r="L26" s="11" t="n">
        <f aca="false">IFERROR(INDEX(確率DB!$G$4:$G$27,MATCH(F26,確率DB!$B$4:$B$27,0)),0)</f>
        <v>0</v>
      </c>
      <c r="M26" s="11" t="n">
        <f aca="false">IFERROR(INDEX(確率DB!$G$4:$G$27,MATCH(G26,確率DB!$B$4:$B$27,0)),0)</f>
        <v>0</v>
      </c>
      <c r="N26" s="11" t="n">
        <f aca="false">IFERROR(INDEX(確率DB!$G$4:$G$27,MATCH(H26,確率DB!$B$4:$B$27,0)),0)</f>
        <v>0</v>
      </c>
      <c r="O26" s="36" t="s">
        <v>182</v>
      </c>
      <c r="P26" s="11" t="n">
        <f aca="false">IF(O26="AND",IF(C26="",1,I26)*IF(D26="",1,J26)*IF(E26="",1,K26)*IF(F26="",1,L26)*IF(G26="",1,M26)*IF(H26="",1,N26),MIN(1,SUM(I26:N26)))</f>
        <v>0</v>
      </c>
      <c r="Q26" s="37"/>
      <c r="R26" s="36" t="n">
        <v>1</v>
      </c>
      <c r="S26" s="11" t="n">
        <f aca="false">IF($B26="",1,IF($R26=0,1,IF($Q26&lt;&gt;"",$Q26,$P26)))</f>
        <v>1</v>
      </c>
      <c r="T26" s="38" t="str">
        <f aca="false">IF(S26&gt;=1,"-",ROUND(1/S26,1))</f>
        <v>-</v>
      </c>
      <c r="U26" s="11" t="n">
        <f aca="false">U25*S26</f>
        <v>0.0328027254795151</v>
      </c>
    </row>
    <row r="28" customFormat="false" ht="15" hidden="false" customHeight="false" outlineLevel="0" collapsed="false">
      <c r="B28" s="8" t="s">
        <v>184</v>
      </c>
    </row>
    <row r="29" customFormat="false" ht="15" hidden="false" customHeight="false" outlineLevel="0" collapsed="false">
      <c r="B29" s="31" t="s">
        <v>185</v>
      </c>
      <c r="C29" s="30" t="n">
        <f aca="false">U26</f>
        <v>0.0328027254795151</v>
      </c>
    </row>
    <row r="30" customFormat="false" ht="15" hidden="false" customHeight="false" outlineLevel="0" collapsed="false">
      <c r="B30" s="31" t="s">
        <v>186</v>
      </c>
      <c r="C30" s="30" t="n">
        <f aca="false">C29/$C$5</f>
        <v>3.74460336524145E-006</v>
      </c>
    </row>
    <row r="31" customFormat="false" ht="37.3" hidden="false" customHeight="false" outlineLevel="0" collapsed="false">
      <c r="B31" s="15" t="s">
        <v>187</v>
      </c>
      <c r="C31" s="36" t="s">
        <v>188</v>
      </c>
      <c r="D31" s="39" t="s">
        <v>189</v>
      </c>
    </row>
    <row r="32" customFormat="false" ht="15" hidden="false" customHeight="false" outlineLevel="0" collapsed="false">
      <c r="B32" s="15" t="s">
        <v>190</v>
      </c>
      <c r="C32" s="11" t="n">
        <f aca="false">IF(C31="/hr",C30,C29)</f>
        <v>3.74460336524145E-006</v>
      </c>
    </row>
    <row r="33" customFormat="false" ht="37.3" hidden="false" customHeight="false" outlineLevel="0" collapsed="false">
      <c r="B33" s="15" t="s">
        <v>191</v>
      </c>
      <c r="C33" s="40" t="str">
        <f aca="false">IF(C32&gt;=IF($C$31="/hr",リスクマトリックス!$E$6,リスクマトリックス!$D$6),"E",IF(C32&gt;=IF($C$31="/hr",リスクマトリックス!$E$7,リスクマトリックス!$D$7),"D",IF(C32&gt;=IF($C$31="/hr",リスクマトリックス!$E$8,リスクマトリックス!$D$8),"C",IF(C32&gt;=IF($C$31="/hr",リスクマトリックス!$E$9,リスクマトリックス!$D$9),"B","A"))))</f>
        <v>D</v>
      </c>
      <c r="D33" s="12" t="s">
        <v>192</v>
      </c>
    </row>
    <row r="34" customFormat="false" ht="15" hidden="false" customHeight="false" outlineLevel="0" collapsed="false">
      <c r="B34" s="15" t="s">
        <v>193</v>
      </c>
      <c r="C34" s="36" t="n">
        <v>2</v>
      </c>
    </row>
    <row r="35" customFormat="false" ht="15" hidden="false" customHeight="false" outlineLevel="0" collapsed="false">
      <c r="B35" s="15" t="s">
        <v>194</v>
      </c>
      <c r="C35" s="40" t="str">
        <f aca="false">INDEX(リスクマトリックス!$H$18:$K$22,MATCH(C33,リスクマトリックス!$G$18:$G$22,0),C34)</f>
        <v>赤</v>
      </c>
    </row>
    <row r="37" customFormat="false" ht="15" hidden="false" customHeight="false" outlineLevel="0" collapsed="false">
      <c r="B37" s="41" t="s">
        <v>195</v>
      </c>
    </row>
    <row r="38" customFormat="false" ht="37.3" hidden="false" customHeight="false" outlineLevel="0" collapsed="false">
      <c r="B38" s="15" t="s">
        <v>196</v>
      </c>
      <c r="C38" s="37"/>
      <c r="D38" s="12" t="s">
        <v>197</v>
      </c>
    </row>
    <row r="39" customFormat="false" ht="15" hidden="false" customHeight="false" outlineLevel="0" collapsed="false">
      <c r="B39" s="15" t="s">
        <v>198</v>
      </c>
      <c r="C39" s="14" t="str">
        <f aca="false">IF(C38="","",C38/C32)</f>
        <v/>
      </c>
    </row>
  </sheetData>
  <dataValidations count="3">
    <dataValidation allowBlank="true" errorStyle="stop" operator="between" showDropDown="false" showErrorMessage="false" showInputMessage="false" sqref="B9:B12 C19:H26" type="list">
      <formula1>DB_KEYS</formula1>
      <formula2>0</formula2>
    </dataValidation>
    <dataValidation allowBlank="true" errorStyle="stop" operator="between" showDropDown="false" showErrorMessage="false" showInputMessage="false" sqref="O19:O26" type="list">
      <formula1>"OR,AND"</formula1>
      <formula2>0</formula2>
    </dataValidation>
    <dataValidation allowBlank="true" errorStyle="stop" operator="between" showDropDown="false" showErrorMessage="false" showInputMessage="false" sqref="C31" type="list">
      <formula1>"/hr,/年"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6" min="5" style="0" width="14"/>
    <col collapsed="false" customWidth="true" hidden="false" outlineLevel="0" max="7" min="7" style="0" width="60"/>
  </cols>
  <sheetData>
    <row r="1" customFormat="false" ht="19.4" hidden="false" customHeight="false" outlineLevel="0" collapsed="false">
      <c r="B1" s="18" t="s">
        <v>199</v>
      </c>
    </row>
    <row r="2" customFormat="false" ht="15" hidden="false" customHeight="false" outlineLevel="0" collapsed="false">
      <c r="B2" s="41" t="s">
        <v>200</v>
      </c>
    </row>
    <row r="3" customFormat="false" ht="15" hidden="false" customHeight="false" outlineLevel="0" collapsed="false">
      <c r="C3" s="42" t="s">
        <v>201</v>
      </c>
    </row>
    <row r="4" customFormat="false" ht="15" hidden="false" customHeight="false" outlineLevel="0" collapsed="false">
      <c r="C4" s="42" t="s">
        <v>202</v>
      </c>
    </row>
    <row r="5" customFormat="false" ht="15" hidden="false" customHeight="false" outlineLevel="0" collapsed="false">
      <c r="C5" s="42" t="s">
        <v>203</v>
      </c>
    </row>
    <row r="6" customFormat="false" ht="15" hidden="false" customHeight="false" outlineLevel="0" collapsed="false">
      <c r="C6" s="42" t="s">
        <v>204</v>
      </c>
    </row>
    <row r="7" customFormat="false" ht="15" hidden="false" customHeight="false" outlineLevel="0" collapsed="false">
      <c r="C7" s="42" t="s">
        <v>205</v>
      </c>
    </row>
    <row r="8" customFormat="false" ht="15" hidden="false" customHeight="false" outlineLevel="0" collapsed="false">
      <c r="C8" s="42" t="s">
        <v>206</v>
      </c>
    </row>
    <row r="10" customFormat="false" ht="15" hidden="false" customHeight="false" outlineLevel="0" collapsed="false">
      <c r="B10" s="41" t="s">
        <v>207</v>
      </c>
    </row>
    <row r="11" customFormat="false" ht="15" hidden="false" customHeight="false" outlineLevel="0" collapsed="false">
      <c r="C11" s="13" t="s">
        <v>208</v>
      </c>
      <c r="D11" s="13" t="s">
        <v>209</v>
      </c>
      <c r="E11" s="13" t="s">
        <v>210</v>
      </c>
      <c r="F11" s="13" t="s">
        <v>211</v>
      </c>
      <c r="G11" s="13" t="s">
        <v>91</v>
      </c>
    </row>
    <row r="12" customFormat="false" ht="15" hidden="false" customHeight="false" outlineLevel="0" collapsed="false">
      <c r="C12" s="15" t="s">
        <v>212</v>
      </c>
      <c r="D12" s="5" t="s">
        <v>102</v>
      </c>
      <c r="E12" s="11" t="n">
        <f aca="false">IFERROR(INDEX(確率DB!$E$4:$E$27,MATCH(D12,確率DB!$B$4:$B$27,0)),0)</f>
        <v>0.00012</v>
      </c>
      <c r="F12" s="33" t="s">
        <v>188</v>
      </c>
      <c r="G12" s="43" t="s">
        <v>213</v>
      </c>
    </row>
    <row r="13" customFormat="false" ht="15" hidden="false" customHeight="false" outlineLevel="0" collapsed="false">
      <c r="C13" s="15" t="s">
        <v>212</v>
      </c>
      <c r="D13" s="4" t="s">
        <v>93</v>
      </c>
      <c r="E13" s="11" t="n">
        <f aca="false">IFERROR(INDEX(確率DB!$E$4:$E$27,MATCH(D13,確率DB!$B$4:$B$27,0)),0)</f>
        <v>5.28E-010</v>
      </c>
      <c r="F13" s="33" t="s">
        <v>188</v>
      </c>
      <c r="G13" s="43"/>
    </row>
    <row r="14" customFormat="false" ht="15" hidden="false" customHeight="false" outlineLevel="0" collapsed="false">
      <c r="C14" s="15" t="s">
        <v>212</v>
      </c>
      <c r="D14" s="5" t="s">
        <v>118</v>
      </c>
      <c r="E14" s="11" t="n">
        <f aca="false">IFERROR(INDEX(確率DB!$E$4:$E$27,MATCH(D14,確率DB!$B$4:$B$27,0)),0)</f>
        <v>3.6E-006</v>
      </c>
      <c r="F14" s="33" t="s">
        <v>188</v>
      </c>
      <c r="G14" s="43" t="s">
        <v>214</v>
      </c>
    </row>
    <row r="15" customFormat="false" ht="15" hidden="false" customHeight="false" outlineLevel="0" collapsed="false">
      <c r="C15" s="15" t="s">
        <v>215</v>
      </c>
      <c r="D15" s="5" t="s">
        <v>104</v>
      </c>
      <c r="E15" s="11" t="n">
        <f aca="false">IFERROR(INDEX(確率DB!$G$4:$G$27,MATCH(D15,確率DB!$B$4:$B$27,0)),0)</f>
        <v>0.0685</v>
      </c>
      <c r="F15" s="33" t="s">
        <v>216</v>
      </c>
      <c r="G15" s="43" t="s">
        <v>217</v>
      </c>
    </row>
    <row r="16" customFormat="false" ht="15" hidden="false" customHeight="false" outlineLevel="0" collapsed="false">
      <c r="C16" s="15" t="s">
        <v>215</v>
      </c>
      <c r="D16" s="4" t="s">
        <v>93</v>
      </c>
      <c r="E16" s="11" t="n">
        <f aca="false">IFERROR(INDEX(確率DB!$G$4:$G$27,MATCH(D16,確率DB!$B$4:$B$27,0)),0)</f>
        <v>1.94E-007</v>
      </c>
      <c r="F16" s="33" t="s">
        <v>216</v>
      </c>
      <c r="G16" s="43"/>
    </row>
    <row r="17" customFormat="false" ht="15" hidden="false" customHeight="false" outlineLevel="0" collapsed="false">
      <c r="C17" s="15" t="s">
        <v>215</v>
      </c>
      <c r="D17" s="5" t="s">
        <v>111</v>
      </c>
      <c r="E17" s="11" t="n">
        <f aca="false">IFERROR(INDEX(確率DB!$G$4:$G$27,MATCH(D17,確率DB!$B$4:$B$27,0)),0)</f>
        <v>9.3E-006</v>
      </c>
      <c r="F17" s="33" t="s">
        <v>216</v>
      </c>
      <c r="G17" s="43"/>
    </row>
    <row r="18" customFormat="false" ht="15" hidden="false" customHeight="false" outlineLevel="0" collapsed="false">
      <c r="C18" s="15" t="s">
        <v>215</v>
      </c>
      <c r="D18" s="5" t="s">
        <v>133</v>
      </c>
      <c r="E18" s="11" t="n">
        <f aca="false">IFERROR(INDEX(確率DB!$G$4:$G$27,MATCH(D18,確率DB!$B$4:$B$27,0)),0)</f>
        <v>0.0001</v>
      </c>
      <c r="F18" s="33" t="s">
        <v>216</v>
      </c>
      <c r="G18" s="43"/>
    </row>
    <row r="19" customFormat="false" ht="26.85" hidden="false" customHeight="false" outlineLevel="0" collapsed="false">
      <c r="C19" s="15" t="s">
        <v>215</v>
      </c>
      <c r="D19" s="5" t="s">
        <v>135</v>
      </c>
      <c r="E19" s="11" t="n">
        <f aca="false">IFERROR(INDEX(確率DB!$G$4:$G$27,MATCH(D19,確率DB!$B$4:$B$27,0)),0)</f>
        <v>0.3</v>
      </c>
      <c r="F19" s="33" t="s">
        <v>216</v>
      </c>
      <c r="G19" s="43"/>
    </row>
    <row r="20" customFormat="false" ht="15" hidden="false" customHeight="false" outlineLevel="0" collapsed="false">
      <c r="C20" s="15" t="s">
        <v>218</v>
      </c>
      <c r="D20" s="5" t="s">
        <v>106</v>
      </c>
      <c r="E20" s="11" t="n">
        <f aca="false">IFERROR(INDEX(確率DB!$G$4:$G$27,MATCH(D20,確率DB!$B$4:$B$27,0)),0)</f>
        <v>0.0793</v>
      </c>
      <c r="F20" s="33" t="s">
        <v>216</v>
      </c>
      <c r="G20" s="43" t="s">
        <v>219</v>
      </c>
    </row>
    <row r="21" customFormat="false" ht="15" hidden="false" customHeight="false" outlineLevel="0" collapsed="false">
      <c r="C21" s="15" t="s">
        <v>218</v>
      </c>
      <c r="D21" s="5" t="s">
        <v>114</v>
      </c>
      <c r="E21" s="11" t="n">
        <f aca="false">IFERROR(INDEX(確率DB!$G$4:$G$27,MATCH(D21,確率DB!$B$4:$B$27,0)),0)</f>
        <v>0.00069</v>
      </c>
      <c r="F21" s="33" t="s">
        <v>216</v>
      </c>
      <c r="G21" s="43" t="s">
        <v>220</v>
      </c>
    </row>
    <row r="22" customFormat="false" ht="15" hidden="false" customHeight="false" outlineLevel="0" collapsed="false">
      <c r="C22" s="15" t="s">
        <v>218</v>
      </c>
      <c r="D22" s="5" t="s">
        <v>118</v>
      </c>
      <c r="E22" s="11" t="n">
        <f aca="false">IFERROR(INDEX(確率DB!$G$4:$G$27,MATCH(D22,確率DB!$B$4:$B$27,0)),0)</f>
        <v>0.0022</v>
      </c>
      <c r="F22" s="33" t="s">
        <v>216</v>
      </c>
      <c r="G22" s="43" t="s">
        <v>221</v>
      </c>
    </row>
    <row r="24" customFormat="false" ht="15" hidden="false" customHeight="false" outlineLevel="0" collapsed="false">
      <c r="C24" s="31" t="s">
        <v>222</v>
      </c>
      <c r="E24" s="30" t="n">
        <f aca="false">SUM(E12:E14)*8760</f>
        <v>1.08274062528</v>
      </c>
      <c r="F24" s="33" t="s">
        <v>223</v>
      </c>
    </row>
    <row r="25" customFormat="false" ht="15" hidden="false" customHeight="false" outlineLevel="0" collapsed="false">
      <c r="C25" s="31" t="s">
        <v>224</v>
      </c>
      <c r="E25" s="30" t="n">
        <f aca="false">MIN(1,SUM(E15:E19))</f>
        <v>0.368609494</v>
      </c>
      <c r="F25" s="33" t="s">
        <v>216</v>
      </c>
    </row>
    <row r="26" customFormat="false" ht="15" hidden="false" customHeight="false" outlineLevel="0" collapsed="false">
      <c r="C26" s="31" t="s">
        <v>225</v>
      </c>
      <c r="E26" s="30" t="n">
        <f aca="false">MIN(1,SUM(E20:E22))</f>
        <v>0.08219</v>
      </c>
      <c r="F26" s="33" t="s">
        <v>216</v>
      </c>
    </row>
    <row r="27" customFormat="false" ht="15" hidden="false" customHeight="false" outlineLevel="0" collapsed="false">
      <c r="C27" s="31" t="s">
        <v>226</v>
      </c>
      <c r="E27" s="30" t="n">
        <f aca="false">E24*E25*E26</f>
        <v>0.0328027254795151</v>
      </c>
      <c r="F27" s="33" t="s">
        <v>223</v>
      </c>
    </row>
    <row r="28" customFormat="false" ht="15" hidden="false" customHeight="false" outlineLevel="0" collapsed="false">
      <c r="C28" s="15" t="s">
        <v>227</v>
      </c>
      <c r="E28" s="11" t="n">
        <f aca="false">E27/8760</f>
        <v>3.74460336524145E-006</v>
      </c>
      <c r="F28" s="33" t="s">
        <v>188</v>
      </c>
    </row>
    <row r="30" customFormat="false" ht="15" hidden="false" customHeight="false" outlineLevel="0" collapsed="false">
      <c r="B30" s="8" t="s">
        <v>228</v>
      </c>
    </row>
    <row r="31" customFormat="false" ht="15" hidden="false" customHeight="false" outlineLevel="0" collapsed="false">
      <c r="C31" s="16" t="s">
        <v>229</v>
      </c>
      <c r="E31" s="11" t="n">
        <v>5.24797E-006</v>
      </c>
      <c r="F31" s="33" t="s">
        <v>188</v>
      </c>
      <c r="G31" s="44" t="s">
        <v>230</v>
      </c>
    </row>
    <row r="32" customFormat="false" ht="15" hidden="false" customHeight="false" outlineLevel="0" collapsed="false">
      <c r="C32" s="15" t="s">
        <v>231</v>
      </c>
      <c r="E32" s="45" t="n">
        <f aca="false">E28/E31</f>
        <v>0.713533683546486</v>
      </c>
      <c r="G32" s="22" t="s">
        <v>232</v>
      </c>
    </row>
    <row r="33" customFormat="false" ht="15" hidden="false" customHeight="false" outlineLevel="0" collapsed="false">
      <c r="C33" s="46" t="s">
        <v>233</v>
      </c>
    </row>
    <row r="34" customFormat="false" ht="90" hidden="false" customHeight="true" outlineLevel="0" collapsed="false">
      <c r="C34" s="47" t="s">
        <v>234</v>
      </c>
    </row>
    <row r="36" customFormat="false" ht="15" hidden="false" customHeight="false" outlineLevel="0" collapsed="false">
      <c r="B36" s="41" t="s">
        <v>235</v>
      </c>
    </row>
    <row r="37" customFormat="false" ht="15" hidden="false" customHeight="false" outlineLevel="0" collapsed="false">
      <c r="C37" s="13" t="s">
        <v>236</v>
      </c>
      <c r="D37" s="13" t="s">
        <v>237</v>
      </c>
      <c r="E37" s="13" t="s">
        <v>238</v>
      </c>
      <c r="F37" s="13" t="s">
        <v>239</v>
      </c>
    </row>
    <row r="38" customFormat="false" ht="15" hidden="false" customHeight="false" outlineLevel="0" collapsed="false">
      <c r="C38" s="15" t="s">
        <v>240</v>
      </c>
      <c r="D38" s="15" t="s">
        <v>241</v>
      </c>
      <c r="E38" s="11" t="n">
        <f aca="false">E24*E25*E26</f>
        <v>0.0328027254795151</v>
      </c>
      <c r="F38" s="48" t="n">
        <v>1</v>
      </c>
    </row>
    <row r="39" customFormat="false" ht="15" hidden="false" customHeight="false" outlineLevel="0" collapsed="false">
      <c r="C39" s="15" t="s">
        <v>242</v>
      </c>
      <c r="D39" s="16" t="s">
        <v>243</v>
      </c>
      <c r="E39" s="11" t="n">
        <f aca="false">E24*E25</f>
        <v>0.399108474017704</v>
      </c>
      <c r="F39" s="48" t="n">
        <f aca="false">E39/E38</f>
        <v>12.1669302834895</v>
      </c>
    </row>
    <row r="40" customFormat="false" ht="26.85" hidden="false" customHeight="false" outlineLevel="0" collapsed="false">
      <c r="C40" s="15" t="s">
        <v>244</v>
      </c>
      <c r="D40" s="5" t="s">
        <v>245</v>
      </c>
      <c r="E40" s="11" t="n">
        <f aca="false">E24*E25*E26*E26</f>
        <v>0.00269605600716135</v>
      </c>
      <c r="F40" s="17" t="n">
        <f aca="false">E40/E38</f>
        <v>0.08219</v>
      </c>
    </row>
    <row r="42" customFormat="false" ht="30" hidden="false" customHeight="true" outlineLevel="0" collapsed="false">
      <c r="C42" s="12" t="s">
        <v>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8"/>
    <col collapsed="false" customWidth="true" hidden="false" outlineLevel="0" max="6" min="6" style="0" width="3"/>
    <col collapsed="false" customWidth="true" hidden="false" outlineLevel="0" max="7" min="7" style="0" width="10"/>
    <col collapsed="false" customWidth="true" hidden="false" outlineLevel="0" max="11" min="8" style="0" width="16"/>
  </cols>
  <sheetData>
    <row r="1" customFormat="false" ht="17.35" hidden="false" customHeight="false" outlineLevel="0" collapsed="false">
      <c r="B1" s="18" t="s">
        <v>247</v>
      </c>
    </row>
    <row r="2" customFormat="false" ht="115.65" hidden="false" customHeight="false" outlineLevel="0" collapsed="false">
      <c r="B2" s="49" t="s">
        <v>248</v>
      </c>
    </row>
    <row r="4" customFormat="false" ht="15" hidden="false" customHeight="false" outlineLevel="0" collapsed="false">
      <c r="B4" s="41" t="s">
        <v>249</v>
      </c>
    </row>
    <row r="5" customFormat="false" ht="15" hidden="false" customHeight="false" outlineLevel="0" collapsed="false">
      <c r="B5" s="19" t="s">
        <v>250</v>
      </c>
      <c r="C5" s="19" t="s">
        <v>251</v>
      </c>
      <c r="D5" s="19" t="s">
        <v>252</v>
      </c>
      <c r="E5" s="19" t="s">
        <v>253</v>
      </c>
    </row>
    <row r="6" customFormat="false" ht="15" hidden="false" customHeight="false" outlineLevel="0" collapsed="false">
      <c r="B6" s="40" t="s">
        <v>254</v>
      </c>
      <c r="C6" s="15" t="s">
        <v>255</v>
      </c>
      <c r="D6" s="37" t="n">
        <v>0.1</v>
      </c>
      <c r="E6" s="37" t="n">
        <v>1.14155251141553E-005</v>
      </c>
    </row>
    <row r="7" customFormat="false" ht="15" hidden="false" customHeight="false" outlineLevel="0" collapsed="false">
      <c r="B7" s="40" t="s">
        <v>256</v>
      </c>
      <c r="C7" s="15" t="s">
        <v>257</v>
      </c>
      <c r="D7" s="37" t="n">
        <v>0.01</v>
      </c>
      <c r="E7" s="37" t="n">
        <v>1.14155251141553E-006</v>
      </c>
    </row>
    <row r="8" customFormat="false" ht="15" hidden="false" customHeight="false" outlineLevel="0" collapsed="false">
      <c r="B8" s="40" t="s">
        <v>258</v>
      </c>
      <c r="C8" s="15" t="s">
        <v>259</v>
      </c>
      <c r="D8" s="37" t="n">
        <v>0.0001</v>
      </c>
      <c r="E8" s="37" t="n">
        <v>1.14155251141553E-008</v>
      </c>
    </row>
    <row r="9" customFormat="false" ht="15" hidden="false" customHeight="false" outlineLevel="0" collapsed="false">
      <c r="B9" s="40" t="s">
        <v>260</v>
      </c>
      <c r="C9" s="15" t="s">
        <v>261</v>
      </c>
      <c r="D9" s="37" t="n">
        <v>1E-006</v>
      </c>
      <c r="E9" s="37" t="n">
        <v>1.14155251141553E-010</v>
      </c>
    </row>
    <row r="10" customFormat="false" ht="15" hidden="false" customHeight="false" outlineLevel="0" collapsed="false">
      <c r="B10" s="40" t="s">
        <v>262</v>
      </c>
      <c r="C10" s="15" t="s">
        <v>263</v>
      </c>
      <c r="D10" s="11" t="s">
        <v>264</v>
      </c>
      <c r="E10" s="11" t="s">
        <v>264</v>
      </c>
    </row>
    <row r="12" customFormat="false" ht="15" hidden="false" customHeight="false" outlineLevel="0" collapsed="false">
      <c r="B12" s="41" t="s">
        <v>265</v>
      </c>
    </row>
    <row r="13" customFormat="false" ht="26.85" hidden="false" customHeight="false" outlineLevel="0" collapsed="false">
      <c r="B13" s="40" t="s">
        <v>266</v>
      </c>
      <c r="C13" s="15" t="s">
        <v>267</v>
      </c>
      <c r="D13" s="5" t="s">
        <v>268</v>
      </c>
    </row>
    <row r="14" customFormat="false" ht="26.85" hidden="false" customHeight="false" outlineLevel="0" collapsed="false">
      <c r="B14" s="40" t="s">
        <v>269</v>
      </c>
      <c r="C14" s="15" t="s">
        <v>270</v>
      </c>
      <c r="D14" s="5" t="s">
        <v>271</v>
      </c>
    </row>
    <row r="15" customFormat="false" ht="26.85" hidden="false" customHeight="false" outlineLevel="0" collapsed="false">
      <c r="B15" s="40" t="s">
        <v>272</v>
      </c>
      <c r="C15" s="15" t="s">
        <v>273</v>
      </c>
      <c r="D15" s="5" t="s">
        <v>274</v>
      </c>
    </row>
    <row r="16" customFormat="false" ht="26.85" hidden="false" customHeight="false" outlineLevel="0" collapsed="false">
      <c r="B16" s="40" t="s">
        <v>275</v>
      </c>
      <c r="C16" s="15" t="s">
        <v>276</v>
      </c>
      <c r="D16" s="5" t="s">
        <v>277</v>
      </c>
      <c r="G16" s="41" t="s">
        <v>278</v>
      </c>
    </row>
    <row r="17" customFormat="false" ht="15" hidden="false" customHeight="false" outlineLevel="0" collapsed="false">
      <c r="G17" s="13" t="s">
        <v>279</v>
      </c>
      <c r="H17" s="13" t="s">
        <v>280</v>
      </c>
      <c r="I17" s="13" t="s">
        <v>281</v>
      </c>
      <c r="J17" s="13" t="s">
        <v>282</v>
      </c>
      <c r="K17" s="13" t="s">
        <v>283</v>
      </c>
    </row>
    <row r="18" customFormat="false" ht="15" hidden="false" customHeight="false" outlineLevel="0" collapsed="false">
      <c r="G18" s="40" t="s">
        <v>254</v>
      </c>
      <c r="H18" s="50" t="s">
        <v>284</v>
      </c>
      <c r="I18" s="50" t="s">
        <v>284</v>
      </c>
      <c r="J18" s="51" t="s">
        <v>285</v>
      </c>
      <c r="K18" s="51" t="s">
        <v>285</v>
      </c>
    </row>
    <row r="19" customFormat="false" ht="15" hidden="false" customHeight="false" outlineLevel="0" collapsed="false">
      <c r="G19" s="40" t="s">
        <v>256</v>
      </c>
      <c r="H19" s="50" t="s">
        <v>284</v>
      </c>
      <c r="I19" s="50" t="s">
        <v>284</v>
      </c>
      <c r="J19" s="51" t="s">
        <v>285</v>
      </c>
      <c r="K19" s="52" t="s">
        <v>286</v>
      </c>
    </row>
    <row r="20" customFormat="false" ht="15" hidden="false" customHeight="false" outlineLevel="0" collapsed="false">
      <c r="G20" s="40" t="s">
        <v>258</v>
      </c>
      <c r="H20" s="50" t="s">
        <v>284</v>
      </c>
      <c r="I20" s="51" t="s">
        <v>285</v>
      </c>
      <c r="J20" s="52" t="s">
        <v>286</v>
      </c>
      <c r="K20" s="52" t="s">
        <v>286</v>
      </c>
    </row>
    <row r="21" customFormat="false" ht="15" hidden="false" customHeight="false" outlineLevel="0" collapsed="false">
      <c r="G21" s="40" t="s">
        <v>260</v>
      </c>
      <c r="H21" s="51" t="s">
        <v>285</v>
      </c>
      <c r="I21" s="52" t="s">
        <v>286</v>
      </c>
      <c r="J21" s="52" t="s">
        <v>286</v>
      </c>
      <c r="K21" s="52" t="s">
        <v>286</v>
      </c>
    </row>
    <row r="22" customFormat="false" ht="15" hidden="false" customHeight="false" outlineLevel="0" collapsed="false">
      <c r="G22" s="40" t="s">
        <v>262</v>
      </c>
      <c r="H22" s="52" t="s">
        <v>286</v>
      </c>
      <c r="I22" s="52" t="s">
        <v>286</v>
      </c>
      <c r="J22" s="52" t="s">
        <v>286</v>
      </c>
      <c r="K22" s="52" t="s">
        <v>286</v>
      </c>
    </row>
    <row r="24" customFormat="false" ht="15" hidden="false" customHeight="false" outlineLevel="0" collapsed="false">
      <c r="G24" s="2" t="s">
        <v>287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2026-07-21T16:49:45Z</dcterms:created>
  <dc:creator>openpyxl</dc:creator>
  <dc:description/>
  <dc:language>en-US</dc:language>
  <cp:lastModifiedBy/>
  <dcterms:modified xsi:type="dcterms:W3CDTF">2026-07-21T16:49:45Z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