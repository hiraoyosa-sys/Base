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読み方" sheetId="1" state="visible" r:id="rId3"/>
    <sheet name="計算原理" sheetId="2" state="visible" r:id="rId4"/>
    <sheet name="確率DB" sheetId="3" state="visible" r:id="rId5"/>
    <sheet name="シナリオ計算" sheetId="4" state="visible" r:id="rId6"/>
    <sheet name="FT計算_カットセット" sheetId="5" state="visible" r:id="rId7"/>
    <sheet name="例題_V1204" sheetId="6" state="visible" r:id="rId8"/>
    <sheet name="リスクマトリックス" sheetId="7" state="visible" r:id="rId9"/>
  </sheets>
  <definedNames>
    <definedName function="false" hidden="false" name="DB_KEYS" vbProcedure="false">確率DB!$B$4:$B$27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<sst xmlns="http://schemas.openxmlformats.org/spreadsheetml/2006/main" count="632" uniqueCount="323">
  <si>
    <r>
      <rPr>
        <b val="true"/>
        <sz val="14"/>
        <rFont val="Yu Gothic"/>
        <family val="0"/>
        <charset val="1"/>
      </rPr>
      <t xml:space="preserve">HAZchart </t>
    </r>
    <r>
      <rPr>
        <b val="true"/>
        <sz val="14"/>
        <rFont val="WenQuanYi Zen Hei"/>
        <family val="2"/>
      </rPr>
      <t xml:space="preserve">簡易評価ワークブック（計算原理＋確率</t>
    </r>
    <r>
      <rPr>
        <b val="true"/>
        <sz val="14"/>
        <rFont val="Yu Gothic"/>
        <family val="0"/>
        <charset val="1"/>
      </rPr>
      <t xml:space="preserve">DB</t>
    </r>
    <r>
      <rPr>
        <b val="true"/>
        <sz val="14"/>
        <rFont val="WenQuanYi Zen Hei"/>
        <family val="2"/>
      </rPr>
      <t xml:space="preserve">＋シナリオシミュレーション）</t>
    </r>
  </si>
  <si>
    <r>
      <rPr>
        <sz val="9"/>
        <color rgb="FF595959"/>
        <rFont val="WenQuanYi Zen Hei"/>
        <family val="2"/>
      </rPr>
      <t xml:space="preserve">作成 </t>
    </r>
    <r>
      <rPr>
        <sz val="9"/>
        <color rgb="FF595959"/>
        <rFont val="Yu Gothic"/>
        <family val="0"/>
        <charset val="1"/>
      </rPr>
      <t xml:space="preserve">2026-07-21</t>
    </r>
    <r>
      <rPr>
        <sz val="9"/>
        <color rgb="FF595959"/>
        <rFont val="WenQuanYi Zen Hei"/>
        <family val="2"/>
      </rPr>
      <t xml:space="preserve">（同日</t>
    </r>
    <r>
      <rPr>
        <sz val="9"/>
        <color rgb="FF595959"/>
        <rFont val="Yu Gothic"/>
        <family val="0"/>
        <charset val="1"/>
      </rPr>
      <t xml:space="preserve">rev2</t>
    </r>
    <r>
      <rPr>
        <sz val="9"/>
        <color rgb="FF595959"/>
        <rFont val="WenQuanYi Zen Hei"/>
        <family val="2"/>
      </rPr>
      <t xml:space="preserve">）。確率</t>
    </r>
    <r>
      <rPr>
        <sz val="9"/>
        <color rgb="FF595959"/>
        <rFont val="Yu Gothic"/>
        <family val="0"/>
        <charset val="1"/>
      </rPr>
      <t xml:space="preserve">DB</t>
    </r>
    <r>
      <rPr>
        <sz val="9"/>
        <color rgb="FF595959"/>
        <rFont val="WenQuanYi Zen Hei"/>
        <family val="2"/>
      </rPr>
      <t xml:space="preserve">の出典</t>
    </r>
    <r>
      <rPr>
        <sz val="9"/>
        <color rgb="FF595959"/>
        <rFont val="Yu Gothic"/>
        <family val="0"/>
        <charset val="1"/>
      </rPr>
      <t xml:space="preserve">: project.pha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Yu Gothic"/>
        <family val="0"/>
        <charset val="1"/>
      </rPr>
      <t xml:space="preserve">PHA_Organizer 3.1.1</t>
    </r>
    <r>
      <rPr>
        <sz val="9"/>
        <color rgb="FF595959"/>
        <rFont val="WenQuanYi Zen Hei"/>
        <family val="2"/>
      </rPr>
      <t xml:space="preserve">）設定値を抽出 </t>
    </r>
    <r>
      <rPr>
        <sz val="9"/>
        <color rgb="FF595959"/>
        <rFont val="Yu Gothic"/>
        <family val="0"/>
        <charset val="1"/>
      </rPr>
      <t xml:space="preserve">2026-07-21</t>
    </r>
  </si>
  <si>
    <t xml:space="preserve">目的</t>
  </si>
  <si>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を使わずに、</t>
    </r>
    <r>
      <rPr>
        <sz val="10"/>
        <rFont val="Yu Gothic"/>
        <family val="0"/>
        <charset val="1"/>
      </rPr>
      <t xml:space="preserve">HAZchart</t>
    </r>
    <r>
      <rPr>
        <sz val="10"/>
        <rFont val="WenQuanYi Zen Hei"/>
        <family val="2"/>
      </rPr>
      <t xml:space="preserve">の確率計算の仕組みを理解し、シナリオを組んだときの事故頻度と安全対策（防護層の追加・削除）の効果を</t>
    </r>
    <r>
      <rPr>
        <sz val="10"/>
        <rFont val="Yu Gothic"/>
        <family val="0"/>
        <charset val="1"/>
      </rPr>
      <t xml:space="preserve">Excel</t>
    </r>
    <r>
      <rPr>
        <sz val="10"/>
        <rFont val="WenQuanYi Zen Hei"/>
        <family val="2"/>
      </rPr>
      <t xml:space="preserve">上で素早く定量評価する。</t>
    </r>
  </si>
  <si>
    <t xml:space="preserve">位置づけ</t>
  </si>
  <si>
    <r>
      <rPr>
        <sz val="10"/>
        <rFont val="WenQuanYi Zen Hei"/>
        <family val="2"/>
      </rPr>
      <t xml:space="preserve">簡易評価用（オーダー確認・感度検討）。正式なリスク評価は</t>
    </r>
    <r>
      <rPr>
        <sz val="10"/>
        <rFont val="Yu Gothic"/>
        <family val="0"/>
        <charset val="1"/>
      </rPr>
      <t xml:space="preserve">HAZchart</t>
    </r>
    <r>
      <rPr>
        <sz val="10"/>
        <rFont val="WenQuanYi Zen Hei"/>
        <family val="2"/>
      </rPr>
      <t xml:space="preserve">解析基準（</t>
    </r>
    <r>
      <rPr>
        <sz val="10"/>
        <rFont val="Yu Gothic"/>
        <family val="0"/>
        <charset val="1"/>
      </rPr>
      <t xml:space="preserve">C-2-3</t>
    </r>
    <r>
      <rPr>
        <sz val="10"/>
        <rFont val="WenQuanYi Zen Hei"/>
        <family val="2"/>
      </rPr>
      <t xml:space="preserve">）に基づき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で実施する。本ブックの結果はその代替にはならない。</t>
    </r>
  </si>
  <si>
    <t xml:space="preserve">計算方式</t>
  </si>
  <si>
    <r>
      <rPr>
        <sz val="10"/>
        <rFont val="WenQuanYi Zen Hei"/>
        <family val="2"/>
      </rPr>
      <t xml:space="preserve">掛け算・足し算の体系は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のカットセット計算（事象の組合せごとに積、組合せ間は和）と同じ。</t>
    </r>
    <r>
      <rPr>
        <sz val="10"/>
        <rFont val="Yu Gothic"/>
        <family val="0"/>
        <charset val="1"/>
      </rPr>
      <t xml:space="preserve">AND/OR</t>
    </r>
    <r>
      <rPr>
        <sz val="10"/>
        <rFont val="WenQuanYi Zen Hei"/>
        <family val="2"/>
      </rPr>
      <t xml:space="preserve">のゲートは</t>
    </r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のノードごとに決まる。どんな入れ子構造でもカットセットに展開すれば計算できる（</t>
    </r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計算</t>
    </r>
    <r>
      <rPr>
        <sz val="10"/>
        <rFont val="Yu Gothic"/>
        <family val="0"/>
        <charset val="1"/>
      </rPr>
      <t xml:space="preserve">_</t>
    </r>
    <r>
      <rPr>
        <sz val="10"/>
        <rFont val="WenQuanYi Zen Hei"/>
        <family val="2"/>
      </rPr>
      <t xml:space="preserve">カットセットシート）。チェーン型（シナリオ計算シート）はその定型例のショートカット。</t>
    </r>
  </si>
  <si>
    <t xml:space="preserve">シート構成</t>
  </si>
  <si>
    <r>
      <rPr>
        <sz val="10"/>
        <rFont val="WenQuanYi Zen Hei"/>
        <family val="2"/>
      </rPr>
      <t xml:space="preserve">「計算原理」…計算の仕組みと</t>
    </r>
    <r>
      <rPr>
        <sz val="10"/>
        <rFont val="Yu Gothic"/>
        <family val="0"/>
        <charset val="1"/>
      </rPr>
      <t xml:space="preserve">AND/OR</t>
    </r>
    <r>
      <rPr>
        <sz val="10"/>
        <rFont val="WenQuanYi Zen Hei"/>
        <family val="2"/>
      </rPr>
      <t xml:space="preserve">の決まり方。 「確率</t>
    </r>
    <r>
      <rPr>
        <sz val="10"/>
        <rFont val="Yu Gothic"/>
        <family val="0"/>
        <charset val="1"/>
      </rPr>
      <t xml:space="preserve">DB</t>
    </r>
    <r>
      <rPr>
        <sz val="10"/>
        <rFont val="WenQuanYi Zen Hei"/>
        <family val="2"/>
      </rPr>
      <t xml:space="preserve">」…既存テンプレートの故障率・デマンド確率の一覧。 「シナリオ計算」…チェーン型シナリオの簡易シミュレーター。 「</t>
    </r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計算</t>
    </r>
    <r>
      <rPr>
        <sz val="10"/>
        <rFont val="Yu Gothic"/>
        <family val="0"/>
        <charset val="1"/>
      </rPr>
      <t xml:space="preserve">_</t>
    </r>
    <r>
      <rPr>
        <sz val="10"/>
        <rFont val="WenQuanYi Zen Hei"/>
        <family val="2"/>
      </rPr>
      <t xml:space="preserve">カットセット」…任意の</t>
    </r>
    <r>
      <rPr>
        <sz val="10"/>
        <rFont val="Yu Gothic"/>
        <family val="0"/>
        <charset val="1"/>
      </rPr>
      <t xml:space="preserve">AND/OR</t>
    </r>
    <r>
      <rPr>
        <sz val="10"/>
        <rFont val="WenQuanYi Zen Hei"/>
        <family val="2"/>
      </rPr>
      <t xml:space="preserve">構造を扱える一般形（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と同じ計算）。 「例題</t>
    </r>
    <r>
      <rPr>
        <sz val="10"/>
        <rFont val="Yu Gothic"/>
        <family val="0"/>
        <charset val="1"/>
      </rPr>
      <t xml:space="preserve">_V1204</t>
    </r>
    <r>
      <rPr>
        <sz val="10"/>
        <rFont val="WenQuanYi Zen Hei"/>
        <family val="2"/>
      </rPr>
      <t xml:space="preserve">」…アップロードされたプロジェクトの再現例と検算。 「リスクマトリックス」…判定のしきい値（入力して確定させる）。</t>
    </r>
  </si>
  <si>
    <r>
      <rPr>
        <b val="true"/>
        <sz val="10"/>
        <rFont val="WenQuanYi Zen Hei"/>
        <family val="2"/>
      </rPr>
      <t xml:space="preserve">使い方</t>
    </r>
    <r>
      <rPr>
        <b val="true"/>
        <sz val="10"/>
        <rFont val="Yu Gothic"/>
        <family val="0"/>
        <charset val="1"/>
      </rPr>
      <t xml:space="preserve">(1)</t>
    </r>
  </si>
  <si>
    <r>
      <rPr>
        <sz val="10"/>
        <rFont val="WenQuanYi Zen Hei"/>
        <family val="2"/>
      </rPr>
      <t xml:space="preserve">「シナリオ計算」で起因事象の構成要素をドロップダウンから選ぶ。この中は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（どれか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つ壊れれば起因事象）なので</t>
    </r>
    <r>
      <rPr>
        <sz val="10"/>
        <rFont val="Yu Gothic"/>
        <family val="0"/>
        <charset val="1"/>
      </rPr>
      <t xml:space="preserve">λ</t>
    </r>
    <r>
      <rPr>
        <sz val="10"/>
        <rFont val="WenQuanYi Zen Hei"/>
        <family val="2"/>
      </rPr>
      <t xml:space="preserve">は足し算。</t>
    </r>
  </si>
  <si>
    <r>
      <rPr>
        <b val="true"/>
        <sz val="10"/>
        <rFont val="WenQuanYi Zen Hei"/>
        <family val="2"/>
      </rPr>
      <t xml:space="preserve">使い方</t>
    </r>
    <r>
      <rPr>
        <b val="true"/>
        <sz val="10"/>
        <rFont val="Yu Gothic"/>
        <family val="0"/>
        <charset val="1"/>
      </rPr>
      <t xml:space="preserve">(2)</t>
    </r>
  </si>
  <si>
    <r>
      <rPr>
        <sz val="10"/>
        <rFont val="WenQuanYi Zen Hei"/>
        <family val="2"/>
      </rPr>
      <t xml:space="preserve">防護層を上から通過する順に並べ、各層の構成要素とゲートを選ぶ。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（既定）＝構成要素のどれか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つの失敗でその層は破られる（</t>
    </r>
    <r>
      <rPr>
        <sz val="10"/>
        <rFont val="Yu Gothic"/>
        <family val="0"/>
        <charset val="1"/>
      </rPr>
      <t xml:space="preserve">PFD</t>
    </r>
    <r>
      <rPr>
        <sz val="10"/>
        <rFont val="WenQuanYi Zen Hei"/>
        <family val="2"/>
      </rPr>
      <t xml:space="preserve">は和）。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＝全部失敗して初めて破られる（冗長化した検出器など。</t>
    </r>
    <r>
      <rPr>
        <sz val="10"/>
        <rFont val="Yu Gothic"/>
        <family val="0"/>
        <charset val="1"/>
      </rPr>
      <t xml:space="preserve">PFD</t>
    </r>
    <r>
      <rPr>
        <sz val="10"/>
        <rFont val="WenQuanYi Zen Hei"/>
        <family val="2"/>
      </rPr>
      <t xml:space="preserve">は積）。</t>
    </r>
  </si>
  <si>
    <r>
      <rPr>
        <b val="true"/>
        <sz val="10"/>
        <rFont val="WenQuanYi Zen Hei"/>
        <family val="2"/>
      </rPr>
      <t xml:space="preserve">使い方</t>
    </r>
    <r>
      <rPr>
        <b val="true"/>
        <sz val="10"/>
        <rFont val="Yu Gothic"/>
        <family val="0"/>
        <charset val="1"/>
      </rPr>
      <t xml:space="preserve">(3)</t>
    </r>
  </si>
  <si>
    <r>
      <rPr>
        <sz val="10"/>
        <rFont val="WenQuanYi Zen Hei"/>
        <family val="2"/>
      </rPr>
      <t xml:space="preserve">「有効」列を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から</t>
    </r>
    <r>
      <rPr>
        <sz val="10"/>
        <rFont val="Yu Gothic"/>
        <family val="0"/>
        <charset val="1"/>
      </rPr>
      <t xml:space="preserve">0</t>
    </r>
    <r>
      <rPr>
        <sz val="10"/>
        <rFont val="WenQuanYi Zen Hei"/>
        <family val="2"/>
      </rPr>
      <t xml:space="preserve">に切り替えるとその層なしの頻度が即座に分かる。「低減倍率」列でどの層がどれだけ効いているかが見える。判定ベース（</t>
    </r>
    <r>
      <rPr>
        <sz val="10"/>
        <rFont val="Yu Gothic"/>
        <family val="0"/>
        <charset val="1"/>
      </rPr>
      <t xml:space="preserve">/hr</t>
    </r>
    <r>
      <rPr>
        <sz val="10"/>
        <rFont val="WenQuanYi Zen Hei"/>
        <family val="2"/>
      </rPr>
      <t xml:space="preserve">・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年）は切替可能。</t>
    </r>
  </si>
  <si>
    <t xml:space="preserve">凡例</t>
  </si>
  <si>
    <t xml:space="preserve">黄色塗り＝触って試すセル（青字）。 白地の黒字＝自動計算（触らない）。 灰色＝見出し。</t>
  </si>
  <si>
    <t xml:space="preserve">注意（重要）</t>
  </si>
  <si>
    <r>
      <rPr>
        <sz val="10"/>
        <rFont val="WenQuanYi Zen Hei"/>
        <family val="2"/>
      </rPr>
      <t xml:space="preserve">・同じ要素（例</t>
    </r>
    <r>
      <rPr>
        <sz val="10"/>
        <rFont val="Yu Gothic"/>
        <family val="0"/>
        <charset val="1"/>
      </rPr>
      <t xml:space="preserve">: DCS</t>
    </r>
    <r>
      <rPr>
        <sz val="10"/>
        <rFont val="WenQuanYi Zen Hei"/>
        <family val="2"/>
      </rPr>
      <t xml:space="preserve">、同一の検出器）が複数の層に入る場合、単純な掛け算は頻度を過小評価する（コモン事象）。同一要素は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つの層にだけ入れること。厳密な扱いは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のミニマルカットセット計算で行う。</t>
    </r>
  </si>
  <si>
    <r>
      <rPr>
        <sz val="10"/>
        <rFont val="WenQuanYi Zen Hei"/>
        <family val="2"/>
      </rPr>
      <t xml:space="preserve">・構成要素はドロップダウンから選ぶこと。手入力でキーが一致しないと</t>
    </r>
    <r>
      <rPr>
        <sz val="10"/>
        <rFont val="Yu Gothic"/>
        <family val="0"/>
        <charset val="1"/>
      </rPr>
      <t xml:space="preserve">0</t>
    </r>
    <r>
      <rPr>
        <sz val="10"/>
        <rFont val="WenQuanYi Zen Hei"/>
        <family val="2"/>
      </rPr>
      <t xml:space="preserve">（その要素なし）扱いになる。</t>
    </r>
  </si>
  <si>
    <r>
      <rPr>
        <sz val="10"/>
        <rFont val="WenQuanYi Zen Hei"/>
        <family val="2"/>
      </rPr>
      <t xml:space="preserve">・リスクマトリックスの頻度しきい値・ゾーン割付は仮置き。</t>
    </r>
    <r>
      <rPr>
        <sz val="10"/>
        <rFont val="Yu Gothic"/>
        <family val="0"/>
        <charset val="1"/>
      </rPr>
      <t xml:space="preserve">C-2-3</t>
    </r>
    <r>
      <rPr>
        <sz val="10"/>
        <rFont val="WenQuanYi Zen Hei"/>
        <family val="2"/>
      </rPr>
      <t xml:space="preserve">の正式な表の値を黄色セルに入れて確定させること（要確認）。</t>
    </r>
  </si>
  <si>
    <r>
      <rPr>
        <b val="true"/>
        <sz val="14"/>
        <rFont val="Yu Gothic"/>
        <family val="0"/>
        <charset val="1"/>
      </rPr>
      <t xml:space="preserve">HAZchart</t>
    </r>
    <r>
      <rPr>
        <b val="true"/>
        <sz val="14"/>
        <rFont val="WenQuanYi Zen Hei"/>
        <family val="2"/>
      </rPr>
      <t xml:space="preserve">の確率計算の原理</t>
    </r>
  </si>
  <si>
    <r>
      <rPr>
        <b val="true"/>
        <sz val="11"/>
        <rFont val="Yu Gothic"/>
        <family val="0"/>
        <charset val="1"/>
      </rPr>
      <t xml:space="preserve">1. </t>
    </r>
    <r>
      <rPr>
        <b val="true"/>
        <sz val="11"/>
        <rFont val="WenQuanYi Zen Hei"/>
        <family val="2"/>
      </rPr>
      <t xml:space="preserve">解析の</t>
    </r>
    <r>
      <rPr>
        <b val="true"/>
        <sz val="11"/>
        <rFont val="Yu Gothic"/>
        <family val="0"/>
        <charset val="1"/>
      </rPr>
      <t xml:space="preserve">4</t>
    </r>
    <r>
      <rPr>
        <b val="true"/>
        <sz val="11"/>
        <rFont val="WenQuanYi Zen Hei"/>
        <family val="2"/>
      </rPr>
      <t xml:space="preserve">ステップ</t>
    </r>
  </si>
  <si>
    <r>
      <rPr>
        <b val="true"/>
        <sz val="10"/>
        <rFont val="WenQuanYi Zen Hei"/>
        <family val="2"/>
      </rPr>
      <t xml:space="preserve">ステップ</t>
    </r>
    <r>
      <rPr>
        <b val="true"/>
        <sz val="10"/>
        <rFont val="Yu Gothic"/>
        <family val="0"/>
        <charset val="1"/>
      </rPr>
      <t xml:space="preserve">1</t>
    </r>
  </si>
  <si>
    <r>
      <rPr>
        <sz val="10"/>
        <rFont val="Yu Gothic"/>
        <family val="0"/>
        <charset val="1"/>
      </rPr>
      <t xml:space="preserve">What-if</t>
    </r>
    <r>
      <rPr>
        <sz val="10"/>
        <rFont val="WenQuanYi Zen Hei"/>
        <family val="2"/>
      </rPr>
      <t xml:space="preserve">で事故シナリオを作る（起因事象＝機器の故障モード。防護層は無いものとして展開）</t>
    </r>
  </si>
  <si>
    <r>
      <rPr>
        <b val="true"/>
        <sz val="10"/>
        <rFont val="WenQuanYi Zen Hei"/>
        <family val="2"/>
      </rPr>
      <t xml:space="preserve">ステップ</t>
    </r>
    <r>
      <rPr>
        <b val="true"/>
        <sz val="10"/>
        <rFont val="Yu Gothic"/>
        <family val="0"/>
        <charset val="1"/>
      </rPr>
      <t xml:space="preserve">2</t>
    </r>
  </si>
  <si>
    <r>
      <rPr>
        <sz val="10"/>
        <rFont val="Yu Gothic"/>
        <family val="0"/>
        <charset val="1"/>
      </rPr>
      <t xml:space="preserve">HAZchart</t>
    </r>
    <r>
      <rPr>
        <sz val="10"/>
        <rFont val="WenQuanYi Zen Hei"/>
        <family val="2"/>
      </rPr>
      <t xml:space="preserve">を描く（状態変化の認知手段、回復動作、失敗したときの次の状態、を繰り返す）</t>
    </r>
  </si>
  <si>
    <r>
      <rPr>
        <b val="true"/>
        <sz val="10"/>
        <rFont val="WenQuanYi Zen Hei"/>
        <family val="2"/>
      </rPr>
      <t xml:space="preserve">ステップ</t>
    </r>
    <r>
      <rPr>
        <b val="true"/>
        <sz val="10"/>
        <rFont val="Yu Gothic"/>
        <family val="0"/>
        <charset val="1"/>
      </rPr>
      <t xml:space="preserve">3</t>
    </r>
  </si>
  <si>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（フォールトツリー）に変換する（最終事象を頂上に置き、状態変化と防護失敗を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で結ぶ）</t>
    </r>
  </si>
  <si>
    <r>
      <rPr>
        <b val="true"/>
        <sz val="10"/>
        <rFont val="WenQuanYi Zen Hei"/>
        <family val="2"/>
      </rPr>
      <t xml:space="preserve">ステップ</t>
    </r>
    <r>
      <rPr>
        <b val="true"/>
        <sz val="10"/>
        <rFont val="Yu Gothic"/>
        <family val="0"/>
        <charset val="1"/>
      </rPr>
      <t xml:space="preserve">4</t>
    </r>
  </si>
  <si>
    <t xml:space="preserve">故障率・ヒューマンエラー確率を入れて最終事象の発生頻度を計算し、リスクマトリックスで評価する</t>
  </si>
  <si>
    <r>
      <rPr>
        <b val="true"/>
        <sz val="11"/>
        <rFont val="Yu Gothic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確率は</t>
    </r>
    <r>
      <rPr>
        <b val="true"/>
        <sz val="11"/>
        <rFont val="Yu Gothic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種類ある</t>
    </r>
  </si>
  <si>
    <r>
      <rPr>
        <b val="true"/>
        <sz val="10"/>
        <rFont val="WenQuanYi Zen Hei"/>
        <family val="2"/>
      </rPr>
      <t xml:space="preserve">時間確率 </t>
    </r>
    <r>
      <rPr>
        <b val="true"/>
        <sz val="10"/>
        <rFont val="Yu Gothic"/>
        <family val="0"/>
        <charset val="1"/>
      </rPr>
      <t xml:space="preserve">λ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Yu Gothic"/>
        <family val="0"/>
        <charset val="1"/>
      </rPr>
      <t xml:space="preserve">/hr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</si>
  <si>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運転中いつでも起こりうる故障の発生率。起因事象に使う。年間頻度＝</t>
    </r>
    <r>
      <rPr>
        <sz val="10"/>
        <rFont val="Yu Gothic"/>
        <family val="0"/>
        <charset val="1"/>
      </rPr>
      <t xml:space="preserve">λ×</t>
    </r>
    <r>
      <rPr>
        <sz val="10"/>
        <rFont val="WenQuanYi Zen Hei"/>
        <family val="2"/>
      </rPr>
      <t xml:space="preserve">年間稼働時間</t>
    </r>
    <r>
      <rPr>
        <sz val="10"/>
        <rFont val="Yu Gothic"/>
        <family val="0"/>
        <charset val="1"/>
      </rPr>
      <t xml:space="preserve">H</t>
    </r>
    <r>
      <rPr>
        <sz val="10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</si>
  <si>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デマンド確率（</t>
    </r>
    <r>
      <rPr>
        <b val="true"/>
        <sz val="10"/>
        <rFont val="Yu Gothic"/>
        <family val="0"/>
        <charset val="1"/>
      </rPr>
      <t xml:space="preserve">/d</t>
    </r>
    <r>
      <rPr>
        <b val="true"/>
        <sz val="10"/>
        <rFont val="WenQuanYi Zen Hei"/>
        <family val="2"/>
      </rPr>
      <t xml:space="preserve">）</t>
    </r>
  </si>
  <si>
    <t xml:space="preserve">「要求されたときに動かない確率」。検出・警報・人の対処・インターロック・安全弁など防護層に使う。</t>
  </si>
  <si>
    <r>
      <rPr>
        <b val="true"/>
        <sz val="11"/>
        <rFont val="Yu Gothic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ゲート（</t>
    </r>
    <r>
      <rPr>
        <b val="true"/>
        <sz val="11"/>
        <rFont val="Yu Gothic"/>
        <family val="0"/>
        <charset val="1"/>
      </rPr>
      <t xml:space="preserve">AND/OR</t>
    </r>
    <r>
      <rPr>
        <b val="true"/>
        <sz val="11"/>
        <rFont val="WenQuanYi Zen Hei"/>
        <family val="2"/>
      </rPr>
      <t xml:space="preserve">）は</t>
    </r>
    <r>
      <rPr>
        <b val="true"/>
        <sz val="11"/>
        <rFont val="Yu Gothic"/>
        <family val="0"/>
        <charset val="1"/>
      </rPr>
      <t xml:space="preserve">FT</t>
    </r>
    <r>
      <rPr>
        <b val="true"/>
        <sz val="11"/>
        <rFont val="WenQuanYi Zen Hei"/>
        <family val="2"/>
      </rPr>
      <t xml:space="preserve">のノードごとに決まる</t>
    </r>
  </si>
  <si>
    <t xml:space="preserve">大原則</t>
  </si>
  <si>
    <r>
      <rPr>
        <sz val="10"/>
        <rFont val="WenQuanYi Zen Hei"/>
        <family val="2"/>
      </rPr>
      <t xml:space="preserve">ゲートは一括で決められない。</t>
    </r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（フォールトツリー）の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つのノード（事象）ごとに、下位事象との関係が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か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かが決まる。</t>
    </r>
    <r>
      <rPr>
        <sz val="10"/>
        <rFont val="Yu Gothic"/>
        <family val="0"/>
        <charset val="1"/>
      </rPr>
      <t xml:space="preserve">HAZchart</t>
    </r>
    <r>
      <rPr>
        <sz val="10"/>
        <rFont val="WenQuanYi Zen Hei"/>
        <family val="2"/>
      </rPr>
      <t xml:space="preserve">から</t>
    </r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に変換するときの型</t>
    </r>
    <r>
      <rPr>
        <sz val="10"/>
        <rFont val="Yu Gothic"/>
        <family val="0"/>
        <charset val="1"/>
      </rPr>
      <t xml:space="preserve">: </t>
    </r>
    <r>
      <rPr>
        <sz val="10"/>
        <rFont val="WenQuanYi Zen Hei"/>
        <family val="2"/>
      </rPr>
      <t xml:space="preserve">「プロセス状態の進行 </t>
    </r>
    <r>
      <rPr>
        <sz val="10"/>
        <rFont val="Yu Gothic"/>
        <family val="0"/>
        <charset val="1"/>
      </rPr>
      <t xml:space="preserve">AND </t>
    </r>
    <r>
      <rPr>
        <sz val="10"/>
        <rFont val="WenQuanYi Zen Hei"/>
        <family val="2"/>
      </rPr>
      <t xml:space="preserve">防護の失敗」が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で縦につながり、各失敗の原因（機器・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・人など）が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で横に並ぶ。冗長化した機器は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の中に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の塊として入る。</t>
    </r>
  </si>
  <si>
    <t xml:space="preserve">どんな構造でも計算できる形</t>
  </si>
  <si>
    <r>
      <rPr>
        <sz val="10"/>
        <rFont val="WenQuanYi Zen Hei"/>
        <family val="2"/>
      </rPr>
      <t xml:space="preserve">ゲートがどう入れ子になっていても、</t>
    </r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は「カットセット＝同時に成立すると最終事象になる基本事象の組合せ」の一覧に展開できる。組合せの中は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（積）、組合せの間は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（和）。これが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の計算そのもの。本ブックでは</t>
    </r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計算</t>
    </r>
    <r>
      <rPr>
        <sz val="10"/>
        <rFont val="Yu Gothic"/>
        <family val="0"/>
        <charset val="1"/>
      </rPr>
      <t xml:space="preserve">_</t>
    </r>
    <r>
      <rPr>
        <sz val="10"/>
        <rFont val="WenQuanYi Zen Hei"/>
        <family val="2"/>
      </rPr>
      <t xml:space="preserve">カットセットシートがこの一般形。シナリオ計算シート（チェーン型）は「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鎖</t>
    </r>
    <r>
      <rPr>
        <sz val="10"/>
        <rFont val="Yu Gothic"/>
        <family val="0"/>
        <charset val="1"/>
      </rPr>
      <t xml:space="preserve">×OR</t>
    </r>
    <r>
      <rPr>
        <sz val="10"/>
        <rFont val="WenQuanYi Zen Hei"/>
        <family val="2"/>
      </rPr>
      <t xml:space="preserve">束」の定型に収まる場合のショートカットで、収まらない構造（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の下に冗長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がある等）はカットセットで組む。</t>
    </r>
  </si>
  <si>
    <r>
      <rPr>
        <b val="true"/>
        <sz val="10"/>
        <rFont val="Yu Gothic"/>
        <family val="0"/>
        <charset val="1"/>
      </rPr>
      <t xml:space="preserve">OR</t>
    </r>
    <r>
      <rPr>
        <b val="true"/>
        <sz val="10"/>
        <rFont val="WenQuanYi Zen Hei"/>
        <family val="2"/>
      </rPr>
      <t xml:space="preserve">ゲート ＝ 足し算</t>
    </r>
  </si>
  <si>
    <r>
      <rPr>
        <sz val="10"/>
        <rFont val="WenQuanYi Zen Hei"/>
        <family val="2"/>
      </rPr>
      <t xml:space="preserve">「どれか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つでも起これば上の事象になる」関係。例</t>
    </r>
    <r>
      <rPr>
        <sz val="10"/>
        <rFont val="Yu Gothic"/>
        <family val="0"/>
        <charset val="1"/>
      </rPr>
      <t xml:space="preserve">: </t>
    </r>
    <r>
      <rPr>
        <sz val="10"/>
        <rFont val="WenQuanYi Zen Hei"/>
        <family val="2"/>
      </rPr>
      <t xml:space="preserve">起因事象の中身（検出器の故障でも、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の故障でも、弁の故障でも開度異常になる）、防護層の中身（検出器が壊れていても、アラームに気づかなくても、対処に失敗しても、その層は破られる）。確率は和 </t>
    </r>
    <r>
      <rPr>
        <sz val="10"/>
        <rFont val="Yu Gothic"/>
        <family val="0"/>
        <charset val="1"/>
      </rPr>
      <t xml:space="preserve">P1</t>
    </r>
    <r>
      <rPr>
        <sz val="10"/>
        <rFont val="WenQuanYi Zen Hei"/>
        <family val="2"/>
      </rPr>
      <t xml:space="preserve">＋</t>
    </r>
    <r>
      <rPr>
        <sz val="10"/>
        <rFont val="Yu Gothic"/>
        <family val="0"/>
        <charset val="1"/>
      </rPr>
      <t xml:space="preserve">P2</t>
    </r>
    <r>
      <rPr>
        <sz val="10"/>
        <rFont val="WenQuanYi Zen Hei"/>
        <family val="2"/>
      </rPr>
      <t xml:space="preserve">＋…（厳密には </t>
    </r>
    <r>
      <rPr>
        <sz val="10"/>
        <rFont val="Yu Gothic"/>
        <family val="0"/>
        <charset val="1"/>
      </rPr>
      <t xml:space="preserve">1−(1−P1)×(1−P2)×… </t>
    </r>
    <r>
      <rPr>
        <sz val="10"/>
        <rFont val="WenQuanYi Zen Hei"/>
        <family val="2"/>
      </rPr>
      <t xml:space="preserve">だが、</t>
    </r>
    <r>
      <rPr>
        <sz val="10"/>
        <rFont val="Yu Gothic"/>
        <family val="0"/>
        <charset val="1"/>
      </rPr>
      <t xml:space="preserve">P</t>
    </r>
    <r>
      <rPr>
        <sz val="10"/>
        <rFont val="WenQuanYi Zen Hei"/>
        <family val="2"/>
      </rPr>
      <t xml:space="preserve">が小さければ和と同じ。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のカットセット積和も和の扱い）。</t>
    </r>
  </si>
  <si>
    <r>
      <rPr>
        <b val="true"/>
        <sz val="10"/>
        <rFont val="Yu Gothic"/>
        <family val="0"/>
        <charset val="1"/>
      </rPr>
      <t xml:space="preserve">AND</t>
    </r>
    <r>
      <rPr>
        <b val="true"/>
        <sz val="10"/>
        <rFont val="WenQuanYi Zen Hei"/>
        <family val="2"/>
      </rPr>
      <t xml:space="preserve">ゲート ＝ 掛け算</t>
    </r>
  </si>
  <si>
    <r>
      <rPr>
        <sz val="10"/>
        <rFont val="WenQuanYi Zen Hei"/>
        <family val="2"/>
      </rPr>
      <t xml:space="preserve">「全部起こって初めて上の事象になる」関係。例</t>
    </r>
    <r>
      <rPr>
        <sz val="10"/>
        <rFont val="Yu Gothic"/>
        <family val="0"/>
        <charset val="1"/>
      </rPr>
      <t xml:space="preserve">: </t>
    </r>
    <r>
      <rPr>
        <sz val="10"/>
        <rFont val="WenQuanYi Zen Hei"/>
        <family val="2"/>
      </rPr>
      <t xml:space="preserve">起因事象 </t>
    </r>
    <r>
      <rPr>
        <sz val="10"/>
        <rFont val="Yu Gothic"/>
        <family val="0"/>
        <charset val="1"/>
      </rPr>
      <t xml:space="preserve">AND </t>
    </r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の失敗 </t>
    </r>
    <r>
      <rPr>
        <sz val="10"/>
        <rFont val="Yu Gothic"/>
        <family val="0"/>
        <charset val="1"/>
      </rPr>
      <t xml:space="preserve">AND </t>
    </r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の失敗 ＝ 最終事象。層の中でも、冗長化した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つの検出器は「両方壊れて初めて検出失敗」なので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（積）。</t>
    </r>
  </si>
  <si>
    <t xml:space="preserve">具体例</t>
  </si>
  <si>
    <r>
      <rPr>
        <sz val="10"/>
        <rFont val="WenQuanYi Zen Hei"/>
        <family val="2"/>
      </rPr>
      <t xml:space="preserve">（機器の故障 </t>
    </r>
    <r>
      <rPr>
        <sz val="10"/>
        <rFont val="Yu Gothic"/>
        <family val="0"/>
        <charset val="1"/>
      </rPr>
      <t xml:space="preserve">OR DCS</t>
    </r>
    <r>
      <rPr>
        <sz val="10"/>
        <rFont val="WenQuanYi Zen Hei"/>
        <family val="2"/>
      </rPr>
      <t xml:space="preserve">の故障）で異常が発生し、</t>
    </r>
    <r>
      <rPr>
        <sz val="10"/>
        <rFont val="Yu Gothic"/>
        <family val="0"/>
        <charset val="1"/>
      </rPr>
      <t xml:space="preserve">AND </t>
    </r>
    <r>
      <rPr>
        <sz val="10"/>
        <rFont val="WenQuanYi Zen Hei"/>
        <family val="2"/>
      </rPr>
      <t xml:space="preserve">運転員が見逃す、が両方成り立つとトラブル。式</t>
    </r>
    <r>
      <rPr>
        <sz val="10"/>
        <rFont val="Yu Gothic"/>
        <family val="0"/>
        <charset val="1"/>
      </rPr>
      <t xml:space="preserve">: </t>
    </r>
    <r>
      <rPr>
        <sz val="10"/>
        <rFont val="WenQuanYi Zen Hei"/>
        <family val="2"/>
      </rPr>
      <t xml:space="preserve">頻度 ＝ </t>
    </r>
    <r>
      <rPr>
        <sz val="10"/>
        <rFont val="Yu Gothic"/>
        <family val="0"/>
        <charset val="1"/>
      </rPr>
      <t xml:space="preserve">(λ</t>
    </r>
    <r>
      <rPr>
        <sz val="10"/>
        <rFont val="WenQuanYi Zen Hei"/>
        <family val="2"/>
      </rPr>
      <t xml:space="preserve">機器＋</t>
    </r>
    <r>
      <rPr>
        <sz val="10"/>
        <rFont val="Yu Gothic"/>
        <family val="0"/>
        <charset val="1"/>
      </rPr>
      <t xml:space="preserve">λDCS) × H × PFD</t>
    </r>
    <r>
      <rPr>
        <sz val="10"/>
        <rFont val="WenQuanYi Zen Hei"/>
        <family val="2"/>
      </rPr>
      <t xml:space="preserve">運転員。下の行に式が入っている。</t>
    </r>
  </si>
  <si>
    <r>
      <rPr>
        <sz val="10"/>
        <rFont val="WenQuanYi Zen Hei"/>
        <family val="2"/>
      </rPr>
      <t xml:space="preserve">上の具体例の計算（流量計＋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が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で壊れ、運転員対処</t>
    </r>
    <r>
      <rPr>
        <sz val="10"/>
        <rFont val="Yu Gothic"/>
        <family val="0"/>
        <charset val="1"/>
      </rPr>
      <t xml:space="preserve">(10</t>
    </r>
    <r>
      <rPr>
        <sz val="10"/>
        <rFont val="WenQuanYi Zen Hei"/>
        <family val="2"/>
      </rPr>
      <t xml:space="preserve">分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が失敗）</t>
    </r>
  </si>
  <si>
    <r>
      <rPr>
        <sz val="9"/>
        <color rgb="FF595959"/>
        <rFont val="WenQuanYi Zen Hei"/>
        <family val="2"/>
      </rPr>
      <t xml:space="preserve">単位は</t>
    </r>
    <r>
      <rPr>
        <sz val="9"/>
        <color rgb="FF595959"/>
        <rFont val="Yu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年。</t>
    </r>
    <r>
      <rPr>
        <sz val="9"/>
        <color rgb="FF595959"/>
        <rFont val="Yu Gothic"/>
        <family val="0"/>
        <charset val="1"/>
      </rPr>
      <t xml:space="preserve">OR</t>
    </r>
    <r>
      <rPr>
        <sz val="9"/>
        <color rgb="FF595959"/>
        <rFont val="WenQuanYi Zen Hei"/>
        <family val="2"/>
      </rPr>
      <t xml:space="preserve">の中身は足し算、起因と防護層の間は掛け算、になっていることを式で確認できる。</t>
    </r>
  </si>
  <si>
    <r>
      <rPr>
        <b val="true"/>
        <sz val="11"/>
        <rFont val="Yu Gothic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基本式（この</t>
    </r>
    <r>
      <rPr>
        <b val="true"/>
        <sz val="11"/>
        <rFont val="Yu Gothic"/>
        <family val="0"/>
        <charset val="1"/>
      </rPr>
      <t xml:space="preserve">4</t>
    </r>
    <r>
      <rPr>
        <b val="true"/>
        <sz val="11"/>
        <rFont val="WenQuanYi Zen Hei"/>
        <family val="2"/>
      </rPr>
      <t xml:space="preserve">つだけ）</t>
    </r>
  </si>
  <si>
    <t xml:space="preserve">起因事象の頻度</t>
  </si>
  <si>
    <r>
      <rPr>
        <sz val="10"/>
        <rFont val="Yu Gothic"/>
        <family val="0"/>
        <charset val="1"/>
      </rPr>
      <t xml:space="preserve">F0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年） ＝ </t>
    </r>
    <r>
      <rPr>
        <sz val="10"/>
        <rFont val="Yu Gothic"/>
        <family val="0"/>
        <charset val="1"/>
      </rPr>
      <t xml:space="preserve">λ</t>
    </r>
    <r>
      <rPr>
        <sz val="10"/>
        <rFont val="WenQuanYi Zen Hei"/>
        <family val="2"/>
      </rPr>
      <t xml:space="preserve">合計（</t>
    </r>
    <r>
      <rPr>
        <sz val="10"/>
        <rFont val="Yu Gothic"/>
        <family val="0"/>
        <charset val="1"/>
      </rPr>
      <t xml:space="preserve">/hr</t>
    </r>
    <r>
      <rPr>
        <sz val="10"/>
        <rFont val="WenQuanYi Zen Hei"/>
        <family val="2"/>
      </rPr>
      <t xml:space="preserve">） </t>
    </r>
    <r>
      <rPr>
        <sz val="10"/>
        <rFont val="Yu Gothic"/>
        <family val="0"/>
        <charset val="1"/>
      </rPr>
      <t xml:space="preserve">× </t>
    </r>
    <r>
      <rPr>
        <sz val="10"/>
        <rFont val="WenQuanYi Zen Hei"/>
        <family val="2"/>
      </rPr>
      <t xml:space="preserve">年間稼働時間</t>
    </r>
    <r>
      <rPr>
        <sz val="10"/>
        <rFont val="Yu Gothic"/>
        <family val="0"/>
        <charset val="1"/>
      </rPr>
      <t xml:space="preserve">H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h/</t>
    </r>
    <r>
      <rPr>
        <sz val="10"/>
        <rFont val="WenQuanYi Zen Hei"/>
        <family val="2"/>
      </rPr>
      <t xml:space="preserve">年）。制御ループの開度異常などは、検出器＋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＋操作端の</t>
    </r>
    <r>
      <rPr>
        <sz val="10"/>
        <rFont val="Yu Gothic"/>
        <family val="0"/>
        <charset val="1"/>
      </rPr>
      <t xml:space="preserve">λ</t>
    </r>
    <r>
      <rPr>
        <sz val="10"/>
        <rFont val="WenQuanYi Zen Hei"/>
        <family val="2"/>
      </rPr>
      <t xml:space="preserve">の和（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）。</t>
    </r>
  </si>
  <si>
    <t xml:space="preserve">最終事象の頻度</t>
  </si>
  <si>
    <r>
      <rPr>
        <sz val="10"/>
        <rFont val="Yu Gothic"/>
        <family val="0"/>
        <charset val="1"/>
      </rPr>
      <t xml:space="preserve">F </t>
    </r>
    <r>
      <rPr>
        <sz val="10"/>
        <rFont val="WenQuanYi Zen Hei"/>
        <family val="2"/>
      </rPr>
      <t xml:space="preserve">＝ </t>
    </r>
    <r>
      <rPr>
        <sz val="10"/>
        <rFont val="Yu Gothic"/>
        <family val="0"/>
        <charset val="1"/>
      </rPr>
      <t xml:space="preserve">F0 × PFD</t>
    </r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1 × PFD</t>
    </r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2 × …</t>
    </r>
    <r>
      <rPr>
        <sz val="10"/>
        <rFont val="WenQuanYi Zen Hei"/>
        <family val="2"/>
      </rPr>
      <t xml:space="preserve">。防護層は「すべて失敗したとき」だけ最終事象に至るので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＝掛け算。</t>
    </r>
  </si>
  <si>
    <r>
      <rPr>
        <b val="true"/>
        <sz val="10"/>
        <rFont val="WenQuanYi Zen Hei"/>
        <family val="2"/>
      </rPr>
      <t xml:space="preserve">層の</t>
    </r>
    <r>
      <rPr>
        <b val="true"/>
        <sz val="10"/>
        <rFont val="Yu Gothic"/>
        <family val="0"/>
        <charset val="1"/>
      </rPr>
      <t xml:space="preserve">PFD</t>
    </r>
    <r>
      <rPr>
        <b val="true"/>
        <sz val="10"/>
        <rFont val="WenQuanYi Zen Hei"/>
        <family val="2"/>
      </rPr>
      <t xml:space="preserve">（失敗確率）</t>
    </r>
  </si>
  <si>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の層 ＝ 構成要素のデマンド確率の和。 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の層（冗長系） ＝ 積。</t>
    </r>
  </si>
  <si>
    <t xml:space="preserve">待機系の換算</t>
  </si>
  <si>
    <r>
      <rPr>
        <sz val="10"/>
        <rFont val="WenQuanYi Zen Hei"/>
        <family val="2"/>
      </rPr>
      <t xml:space="preserve">点検周期</t>
    </r>
    <r>
      <rPr>
        <sz val="10"/>
        <rFont val="Yu Gothic"/>
        <family val="0"/>
        <charset val="1"/>
      </rPr>
      <t xml:space="preserve">T</t>
    </r>
    <r>
      <rPr>
        <sz val="10"/>
        <rFont val="WenQuanYi Zen Hei"/>
        <family val="2"/>
      </rPr>
      <t xml:space="preserve">で点検される待機機器は デマンド確率 ＝ </t>
    </r>
    <r>
      <rPr>
        <sz val="10"/>
        <rFont val="Yu Gothic"/>
        <family val="0"/>
        <charset val="1"/>
      </rPr>
      <t xml:space="preserve">λ × T ÷ 2</t>
    </r>
    <r>
      <rPr>
        <sz val="10"/>
        <rFont val="WenQuanYi Zen Hei"/>
        <family val="2"/>
      </rPr>
      <t xml:space="preserve">。（故障してから次の点検までの平均放置時間が</t>
    </r>
    <r>
      <rPr>
        <sz val="10"/>
        <rFont val="Yu Gothic"/>
        <family val="0"/>
        <charset val="1"/>
      </rPr>
      <t xml:space="preserve">T/2</t>
    </r>
    <r>
      <rPr>
        <sz val="10"/>
        <rFont val="WenQuanYi Zen Hei"/>
        <family val="2"/>
      </rPr>
      <t xml:space="preserve">のため。月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回点検なら</t>
    </r>
    <r>
      <rPr>
        <sz val="10"/>
        <rFont val="Yu Gothic"/>
        <family val="0"/>
        <charset val="1"/>
      </rPr>
      <t xml:space="preserve">T=720h</t>
    </r>
    <r>
      <rPr>
        <sz val="10"/>
        <rFont val="WenQuanYi Zen Hei"/>
        <family val="2"/>
      </rPr>
      <t xml:space="preserve">）</t>
    </r>
  </si>
  <si>
    <r>
      <rPr>
        <b val="true"/>
        <sz val="11"/>
        <rFont val="Yu Gothic"/>
        <family val="0"/>
        <charset val="1"/>
      </rPr>
      <t xml:space="preserve">5. </t>
    </r>
    <r>
      <rPr>
        <b val="true"/>
        <sz val="11"/>
        <rFont val="WenQuanYi Zen Hei"/>
        <family val="2"/>
      </rPr>
      <t xml:space="preserve">層の中身の組み立て方（</t>
    </r>
    <r>
      <rPr>
        <b val="true"/>
        <sz val="11"/>
        <rFont val="Yu Gothic"/>
        <family val="0"/>
        <charset val="1"/>
      </rPr>
      <t xml:space="preserve">FT</t>
    </r>
    <r>
      <rPr>
        <b val="true"/>
        <sz val="11"/>
        <rFont val="WenQuanYi Zen Hei"/>
        <family val="2"/>
      </rPr>
      <t xml:space="preserve">展開の型）</t>
    </r>
  </si>
  <si>
    <r>
      <rPr>
        <b val="true"/>
        <sz val="10"/>
        <rFont val="WenQuanYi Zen Hei"/>
        <family val="2"/>
      </rPr>
      <t xml:space="preserve">人が対処する層（</t>
    </r>
    <r>
      <rPr>
        <b val="true"/>
        <sz val="10"/>
        <rFont val="Yu Gothic"/>
        <family val="0"/>
        <charset val="1"/>
      </rPr>
      <t xml:space="preserve">OR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</si>
  <si>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PFD </t>
    </r>
    <r>
      <rPr>
        <sz val="10"/>
        <rFont val="WenQuanYi Zen Hei"/>
        <family val="2"/>
      </rPr>
      <t xml:space="preserve">＝ 発見手段の故障（検出器＋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＋アラーム） ＋ アラームに気づかない ＋ 発見したが対処できない。「対処できない」は時間余裕で値が変わる（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</t>
    </r>
    <r>
      <rPr>
        <sz val="10"/>
        <rFont val="Yu Gothic"/>
        <family val="0"/>
        <charset val="1"/>
      </rPr>
      <t xml:space="preserve">: 0.3 / 1</t>
    </r>
    <r>
      <rPr>
        <sz val="10"/>
        <rFont val="WenQuanYi Zen Hei"/>
        <family val="2"/>
      </rPr>
      <t xml:space="preserve">時間</t>
    </r>
    <r>
      <rPr>
        <sz val="10"/>
        <rFont val="Yu Gothic"/>
        <family val="0"/>
        <charset val="1"/>
      </rPr>
      <t xml:space="preserve">: 0.006 / 1</t>
    </r>
    <r>
      <rPr>
        <sz val="10"/>
        <rFont val="WenQuanYi Zen Hei"/>
        <family val="2"/>
      </rPr>
      <t xml:space="preserve">日</t>
    </r>
    <r>
      <rPr>
        <sz val="10"/>
        <rFont val="Yu Gothic"/>
        <family val="0"/>
        <charset val="1"/>
      </rPr>
      <t xml:space="preserve">: 0.0003</t>
    </r>
    <r>
      <rPr>
        <sz val="10"/>
        <rFont val="WenQuanYi Zen Hei"/>
        <family val="2"/>
      </rPr>
      <t xml:space="preserve">）。</t>
    </r>
  </si>
  <si>
    <r>
      <rPr>
        <b val="true"/>
        <sz val="10"/>
        <rFont val="WenQuanYi Zen Hei"/>
        <family val="2"/>
      </rPr>
      <t xml:space="preserve">自動の層＝インターロック（</t>
    </r>
    <r>
      <rPr>
        <b val="true"/>
        <sz val="10"/>
        <rFont val="Yu Gothic"/>
        <family val="0"/>
        <charset val="1"/>
      </rPr>
      <t xml:space="preserve">OR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</si>
  <si>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PFD </t>
    </r>
    <r>
      <rPr>
        <sz val="10"/>
        <rFont val="WenQuanYi Zen Hei"/>
        <family val="2"/>
      </rPr>
      <t xml:space="preserve">＝ 検出器 ＋ ロジック（リレー回路） ＋ 操作端（電磁弁・空気調整弁）。人は介在しない。</t>
    </r>
  </si>
  <si>
    <t xml:space="preserve">機械式の層</t>
  </si>
  <si>
    <t xml:space="preserve">安全弁・チェッキ弁などは単体のデマンド確率をそのまま使う。</t>
  </si>
  <si>
    <r>
      <rPr>
        <b val="true"/>
        <sz val="10"/>
        <rFont val="WenQuanYi Zen Hei"/>
        <family val="2"/>
      </rPr>
      <t xml:space="preserve">冗長化した層（</t>
    </r>
    <r>
      <rPr>
        <b val="true"/>
        <sz val="10"/>
        <rFont val="Yu Gothic"/>
        <family val="0"/>
        <charset val="1"/>
      </rPr>
      <t xml:space="preserve">AND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</si>
  <si>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同じ機能の検出器を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つ独立に置いた場合など。層</t>
    </r>
    <r>
      <rPr>
        <sz val="10"/>
        <rFont val="Yu Gothic"/>
        <family val="0"/>
        <charset val="1"/>
      </rPr>
      <t xml:space="preserve">PFD </t>
    </r>
    <r>
      <rPr>
        <sz val="10"/>
        <rFont val="WenQuanYi Zen Hei"/>
        <family val="2"/>
      </rPr>
      <t xml:space="preserve">＝ 積（両方失敗して初めて破られる）。ただし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つが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や電源を共有していると独立でなくなり、積ほど下がらない（コモン事象）。</t>
    </r>
  </si>
  <si>
    <r>
      <rPr>
        <b val="true"/>
        <sz val="11"/>
        <rFont val="Yu Gothic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対策の効き方の目安（層を</t>
    </r>
    <r>
      <rPr>
        <b val="true"/>
        <sz val="11"/>
        <rFont val="Yu Gothic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つ足すと頻度は</t>
    </r>
    <r>
      <rPr>
        <b val="true"/>
        <sz val="11"/>
        <rFont val="Yu Gothic"/>
        <family val="0"/>
        <charset val="1"/>
      </rPr>
      <t xml:space="preserve">1/◯</t>
    </r>
    <r>
      <rPr>
        <b val="true"/>
        <sz val="11"/>
        <rFont val="WenQuanYi Zen Hei"/>
        <family val="2"/>
      </rPr>
      <t xml:space="preserve">になる）</t>
    </r>
  </si>
  <si>
    <t xml:space="preserve">追加する層</t>
  </si>
  <si>
    <r>
      <rPr>
        <b val="true"/>
        <sz val="10"/>
        <rFont val="WenQuanYi Zen Hei"/>
        <family val="2"/>
      </rPr>
      <t xml:space="preserve">層</t>
    </r>
    <r>
      <rPr>
        <b val="true"/>
        <sz val="10"/>
        <rFont val="Yu Gothic"/>
        <family val="0"/>
        <charset val="1"/>
      </rPr>
      <t xml:space="preserve">PFD</t>
    </r>
  </si>
  <si>
    <t xml:space="preserve">低減倍率</t>
  </si>
  <si>
    <r>
      <rPr>
        <sz val="10"/>
        <rFont val="WenQuanYi Zen Hei"/>
        <family val="2"/>
      </rPr>
      <t xml:space="preserve">運転員の監視・対処（時間余裕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分）</t>
    </r>
  </si>
  <si>
    <t xml:space="preserve">独立したインターロック（検出器＋リレー＋弁）</t>
  </si>
  <si>
    <t xml:space="preserve">安全弁</t>
  </si>
  <si>
    <r>
      <rPr>
        <sz val="9"/>
        <color rgb="FF595959"/>
        <rFont val="WenQuanYi Zen Hei"/>
        <family val="2"/>
      </rPr>
      <t xml:space="preserve">（読み方）運転員頼みの層は対処失敗</t>
    </r>
    <r>
      <rPr>
        <sz val="9"/>
        <color rgb="FF595959"/>
        <rFont val="Yu Gothic"/>
        <family val="0"/>
        <charset val="1"/>
      </rPr>
      <t xml:space="preserve">0.3</t>
    </r>
    <r>
      <rPr>
        <sz val="9"/>
        <color rgb="FF595959"/>
        <rFont val="WenQuanYi Zen Hei"/>
        <family val="2"/>
      </rPr>
      <t xml:space="preserve">が支配的で</t>
    </r>
    <r>
      <rPr>
        <sz val="9"/>
        <color rgb="FF595959"/>
        <rFont val="Yu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倍弱しか効かない。自動の層は約</t>
    </r>
    <r>
      <rPr>
        <sz val="9"/>
        <color rgb="FF595959"/>
        <rFont val="Yu Gothic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倍、安全弁は数千倍効く。層を足しても効かないときは、その層の</t>
    </r>
    <r>
      <rPr>
        <sz val="9"/>
        <color rgb="FF595959"/>
        <rFont val="Yu Gothic"/>
        <family val="0"/>
        <charset val="1"/>
      </rPr>
      <t xml:space="preserve">PFD</t>
    </r>
    <r>
      <rPr>
        <sz val="9"/>
        <color rgb="FF595959"/>
        <rFont val="WenQuanYi Zen Hei"/>
        <family val="2"/>
      </rPr>
      <t xml:space="preserve">が大きい（人頼み）か、既存の層と要素を共有しているのが原因。</t>
    </r>
  </si>
  <si>
    <r>
      <rPr>
        <b val="true"/>
        <sz val="11"/>
        <rFont val="Yu Gothic"/>
        <family val="0"/>
        <charset val="1"/>
      </rPr>
      <t xml:space="preserve">7. </t>
    </r>
    <r>
      <rPr>
        <b val="true"/>
        <sz val="11"/>
        <rFont val="WenQuanYi Zen Hei"/>
        <family val="2"/>
      </rPr>
      <t xml:space="preserve">生きた検算（式が入っています）</t>
    </r>
  </si>
  <si>
    <r>
      <rPr>
        <sz val="10"/>
        <rFont val="WenQuanYi Zen Hei"/>
        <family val="2"/>
      </rPr>
      <t xml:space="preserve">待機系換算の確認</t>
    </r>
    <r>
      <rPr>
        <sz val="10"/>
        <rFont val="Yu Gothic"/>
        <family val="0"/>
        <charset val="1"/>
      </rPr>
      <t xml:space="preserve">: </t>
    </r>
    <r>
      <rPr>
        <sz val="10"/>
        <rFont val="WenQuanYi Zen Hei"/>
        <family val="2"/>
      </rPr>
      <t xml:space="preserve">温度計 </t>
    </r>
    <r>
      <rPr>
        <sz val="10"/>
        <rFont val="Yu Gothic"/>
        <family val="0"/>
        <charset val="1"/>
      </rPr>
      <t xml:space="preserve">λ×T÷2</t>
    </r>
  </si>
  <si>
    <r>
      <rPr>
        <sz val="9"/>
        <color rgb="FF595959"/>
        <rFont val="WenQuanYi Zen Hei"/>
        <family val="2"/>
      </rPr>
      <t xml:space="preserve">確率</t>
    </r>
    <r>
      <rPr>
        <sz val="9"/>
        <color rgb="FF595959"/>
        <rFont val="Yu Gothic"/>
        <family val="0"/>
        <charset val="1"/>
      </rPr>
      <t xml:space="preserve">DB</t>
    </r>
    <r>
      <rPr>
        <sz val="9"/>
        <color rgb="FF595959"/>
        <rFont val="WenQuanYi Zen Hei"/>
        <family val="2"/>
      </rPr>
      <t xml:space="preserve">の登録値</t>
    </r>
    <r>
      <rPr>
        <sz val="9"/>
        <color rgb="FF595959"/>
        <rFont val="Yu Gothic"/>
        <family val="0"/>
        <charset val="1"/>
      </rPr>
      <t xml:space="preserve">0.035</t>
    </r>
    <r>
      <rPr>
        <sz val="9"/>
        <color rgb="FF595959"/>
        <rFont val="WenQuanYi Zen Hei"/>
        <family val="2"/>
      </rPr>
      <t xml:space="preserve">と一致する（登録値がこの式で作られていることの確認）</t>
    </r>
  </si>
  <si>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の和と厳密式の差</t>
    </r>
    <r>
      <rPr>
        <sz val="10"/>
        <rFont val="Yu Gothic"/>
        <family val="0"/>
        <charset val="1"/>
      </rPr>
      <t xml:space="preserve">: P1=0.3, P2=0.08</t>
    </r>
  </si>
  <si>
    <r>
      <rPr>
        <sz val="9"/>
        <color rgb="FF595959"/>
        <rFont val="WenQuanYi Zen Hei"/>
        <family val="2"/>
      </rPr>
      <t xml:space="preserve">厳密値は </t>
    </r>
    <r>
      <rPr>
        <sz val="9"/>
        <color rgb="FF595959"/>
        <rFont val="Yu Gothic"/>
        <family val="0"/>
        <charset val="1"/>
      </rPr>
      <t xml:space="preserve">1−(0.7×0.92)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Yu Gothic"/>
        <family val="0"/>
        <charset val="1"/>
      </rPr>
      <t xml:space="preserve">0.356</t>
    </r>
    <r>
      <rPr>
        <sz val="9"/>
        <color rgb="FF595959"/>
        <rFont val="WenQuanYi Zen Hei"/>
        <family val="2"/>
      </rPr>
      <t xml:space="preserve">。和</t>
    </r>
    <r>
      <rPr>
        <sz val="9"/>
        <color rgb="FF595959"/>
        <rFont val="Yu Gothic"/>
        <family val="0"/>
        <charset val="1"/>
      </rPr>
      <t xml:space="preserve">(0.38)</t>
    </r>
    <r>
      <rPr>
        <sz val="9"/>
        <color rgb="FF595959"/>
        <rFont val="WenQuanYi Zen Hei"/>
        <family val="2"/>
      </rPr>
      <t xml:space="preserve">は少し大きめ＝安全側。</t>
    </r>
    <r>
      <rPr>
        <sz val="9"/>
        <color rgb="FF595959"/>
        <rFont val="Yu Gothic"/>
        <family val="0"/>
        <charset val="1"/>
      </rPr>
      <t xml:space="preserve">PHA_Organizer</t>
    </r>
    <r>
      <rPr>
        <sz val="9"/>
        <color rgb="FF595959"/>
        <rFont val="WenQuanYi Zen Hei"/>
        <family val="2"/>
      </rPr>
      <t xml:space="preserve">も和の扱い（カットセット積和）。</t>
    </r>
  </si>
  <si>
    <r>
      <rPr>
        <b val="true"/>
        <sz val="11"/>
        <rFont val="Yu Gothic"/>
        <family val="0"/>
        <charset val="1"/>
      </rPr>
      <t xml:space="preserve">8. </t>
    </r>
    <r>
      <rPr>
        <b val="true"/>
        <sz val="11"/>
        <rFont val="WenQuanYi Zen Hei"/>
        <family val="2"/>
      </rPr>
      <t xml:space="preserve">コモン事象（掛け算の落とし穴）</t>
    </r>
  </si>
  <si>
    <r>
      <rPr>
        <sz val="10"/>
        <rFont val="WenQuanYi Zen Hei"/>
        <family val="2"/>
      </rPr>
      <t xml:space="preserve">同じ基本事象（例</t>
    </r>
    <r>
      <rPr>
        <sz val="10"/>
        <rFont val="Yu Gothic"/>
        <family val="0"/>
        <charset val="1"/>
      </rPr>
      <t xml:space="preserve">: DCS</t>
    </r>
    <r>
      <rPr>
        <sz val="10"/>
        <rFont val="WenQuanYi Zen Hei"/>
        <family val="2"/>
      </rPr>
      <t xml:space="preserve">故障）が複数の層に現れると、掛け算では同じ故障を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回掛けてしまい頻度を過小評価する。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はブール代数（ミニマルカットセット）で重複を正しく処理する。本ブックの簡易計算では、同一要素は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つの層にだけ入れて近似すること。</t>
    </r>
  </si>
  <si>
    <r>
      <rPr>
        <sz val="9"/>
        <color rgb="FF595959"/>
        <rFont val="WenQuanYi Zen Hei"/>
        <family val="2"/>
      </rPr>
      <t xml:space="preserve">出典</t>
    </r>
    <r>
      <rPr>
        <sz val="9"/>
        <color rgb="FF595959"/>
        <rFont val="Yu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計算体系は</t>
    </r>
    <r>
      <rPr>
        <sz val="9"/>
        <color rgb="FF595959"/>
        <rFont val="Yu Gothic"/>
        <family val="0"/>
        <charset val="1"/>
      </rPr>
      <t xml:space="preserve">HAZchart</t>
    </r>
    <r>
      <rPr>
        <sz val="9"/>
        <color rgb="FF595959"/>
        <rFont val="WenQuanYi Zen Hei"/>
        <family val="2"/>
      </rPr>
      <t xml:space="preserve">解析基準（</t>
    </r>
    <r>
      <rPr>
        <sz val="9"/>
        <color rgb="FF595959"/>
        <rFont val="Yu Gothic"/>
        <family val="0"/>
        <charset val="1"/>
      </rPr>
      <t xml:space="preserve">C-2-3</t>
    </r>
    <r>
      <rPr>
        <sz val="9"/>
        <color rgb="FF595959"/>
        <rFont val="WenQuanYi Zen Hei"/>
        <family val="2"/>
      </rPr>
      <t xml:space="preserve">）と</t>
    </r>
    <r>
      <rPr>
        <sz val="9"/>
        <color rgb="FF595959"/>
        <rFont val="Yu Gothic"/>
        <family val="0"/>
        <charset val="1"/>
      </rPr>
      <t xml:space="preserve">PHA_Organizer</t>
    </r>
    <r>
      <rPr>
        <sz val="9"/>
        <color rgb="FF595959"/>
        <rFont val="WenQuanYi Zen Hei"/>
        <family val="2"/>
      </rPr>
      <t xml:space="preserve">の処理に基づく。数値の関係（</t>
    </r>
    <r>
      <rPr>
        <sz val="9"/>
        <color rgb="FF595959"/>
        <rFont val="Yu Gothic"/>
        <family val="0"/>
        <charset val="1"/>
      </rPr>
      <t xml:space="preserve">λ×T/2</t>
    </r>
    <r>
      <rPr>
        <sz val="9"/>
        <color rgb="FF595959"/>
        <rFont val="WenQuanYi Zen Hei"/>
        <family val="2"/>
      </rPr>
      <t xml:space="preserve">＝登録デマンド確率が一致）は</t>
    </r>
    <r>
      <rPr>
        <sz val="9"/>
        <color rgb="FF595959"/>
        <rFont val="Yu Gothic"/>
        <family val="0"/>
        <charset val="1"/>
      </rPr>
      <t xml:space="preserve">project.pha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Yu Gothic"/>
        <family val="0"/>
        <charset val="1"/>
      </rPr>
      <t xml:space="preserve">PHA_Organizer 3.1.1</t>
    </r>
    <r>
      <rPr>
        <sz val="9"/>
        <color rgb="FF595959"/>
        <rFont val="WenQuanYi Zen Hei"/>
        <family val="2"/>
      </rPr>
      <t xml:space="preserve">）設定値を抽出 </t>
    </r>
    <r>
      <rPr>
        <sz val="9"/>
        <color rgb="FF595959"/>
        <rFont val="Yu Gothic"/>
        <family val="0"/>
        <charset val="1"/>
      </rPr>
      <t xml:space="preserve">2026-07-21</t>
    </r>
    <r>
      <rPr>
        <sz val="9"/>
        <color rgb="FF595959"/>
        <rFont val="WenQuanYi Zen Hei"/>
        <family val="2"/>
      </rPr>
      <t xml:space="preserve">で確認済み。</t>
    </r>
  </si>
  <si>
    <r>
      <rPr>
        <b val="true"/>
        <sz val="14"/>
        <rFont val="WenQuanYi Zen Hei"/>
        <family val="2"/>
      </rPr>
      <t xml:space="preserve">確率</t>
    </r>
    <r>
      <rPr>
        <b val="true"/>
        <sz val="14"/>
        <rFont val="Yu Gothic"/>
        <family val="0"/>
        <charset val="1"/>
      </rPr>
      <t xml:space="preserve">DB</t>
    </r>
    <r>
      <rPr>
        <b val="true"/>
        <sz val="14"/>
        <rFont val="WenQuanYi Zen Hei"/>
        <family val="2"/>
      </rPr>
      <t xml:space="preserve">（既存テンプレートの設定値）</t>
    </r>
  </si>
  <si>
    <r>
      <rPr>
        <sz val="9"/>
        <color rgb="FF595959"/>
        <rFont val="WenQuanYi Zen Hei"/>
        <family val="2"/>
      </rPr>
      <t xml:space="preserve">出典</t>
    </r>
    <r>
      <rPr>
        <sz val="9"/>
        <color rgb="FF595959"/>
        <rFont val="Yu Gothic"/>
        <family val="0"/>
        <charset val="1"/>
      </rPr>
      <t xml:space="preserve">: project.pha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Yu Gothic"/>
        <family val="0"/>
        <charset val="1"/>
      </rPr>
      <t xml:space="preserve">PHA_Organizer 3.1.1</t>
    </r>
    <r>
      <rPr>
        <sz val="9"/>
        <color rgb="FF595959"/>
        <rFont val="WenQuanYi Zen Hei"/>
        <family val="2"/>
      </rPr>
      <t xml:space="preserve">）設定値を抽出 </t>
    </r>
    <r>
      <rPr>
        <sz val="9"/>
        <color rgb="FF595959"/>
        <rFont val="Yu Gothic"/>
        <family val="0"/>
        <charset val="1"/>
      </rPr>
      <t xml:space="preserve">2026-07-21</t>
    </r>
    <r>
      <rPr>
        <sz val="9"/>
        <color rgb="FF595959"/>
        <rFont val="WenQuanYi Zen Hei"/>
        <family val="2"/>
      </rPr>
      <t xml:space="preserve">。追記する場合は下の空行に同じ形式で入力（キー列は「要素名／故障モード」）。</t>
    </r>
  </si>
  <si>
    <t xml:space="preserve">分類</t>
  </si>
  <si>
    <t xml:space="preserve">キー（選択用）</t>
  </si>
  <si>
    <t xml:space="preserve">要素名</t>
  </si>
  <si>
    <t xml:space="preserve">故障モード</t>
  </si>
  <si>
    <r>
      <rPr>
        <b val="true"/>
        <sz val="10"/>
        <rFont val="WenQuanYi Zen Hei"/>
        <family val="2"/>
      </rPr>
      <t xml:space="preserve">時間確率</t>
    </r>
    <r>
      <rPr>
        <b val="true"/>
        <sz val="10"/>
        <rFont val="Yu Gothic"/>
        <family val="0"/>
        <charset val="1"/>
      </rPr>
      <t xml:space="preserve">λ(/hr)</t>
    </r>
  </si>
  <si>
    <r>
      <rPr>
        <b val="true"/>
        <sz val="10"/>
        <rFont val="WenQuanYi Zen Hei"/>
        <family val="2"/>
      </rPr>
      <t xml:space="preserve">点検周期</t>
    </r>
    <r>
      <rPr>
        <b val="true"/>
        <sz val="10"/>
        <rFont val="Yu Gothic"/>
        <family val="0"/>
        <charset val="1"/>
      </rPr>
      <t xml:space="preserve">T(h)</t>
    </r>
  </si>
  <si>
    <r>
      <rPr>
        <b val="true"/>
        <sz val="10"/>
        <rFont val="WenQuanYi Zen Hei"/>
        <family val="2"/>
      </rPr>
      <t xml:space="preserve">デマンド確率</t>
    </r>
    <r>
      <rPr>
        <b val="true"/>
        <sz val="10"/>
        <rFont val="Yu Gothic"/>
        <family val="0"/>
        <charset val="1"/>
      </rPr>
      <t xml:space="preserve">(/d)</t>
    </r>
  </si>
  <si>
    <r>
      <rPr>
        <b val="true"/>
        <sz val="10"/>
        <rFont val="WenQuanYi Zen Hei"/>
        <family val="2"/>
      </rPr>
      <t xml:space="preserve">検算 </t>
    </r>
    <r>
      <rPr>
        <b val="true"/>
        <sz val="10"/>
        <rFont val="Yu Gothic"/>
        <family val="0"/>
        <charset val="1"/>
      </rPr>
      <t xml:space="preserve">λ×T÷2</t>
    </r>
  </si>
  <si>
    <t xml:space="preserve">出典</t>
  </si>
  <si>
    <t xml:space="preserve">備考</t>
  </si>
  <si>
    <t xml:space="preserve">コモン事象</t>
  </si>
  <si>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／故障</t>
    </r>
  </si>
  <si>
    <t xml:space="preserve">DCS</t>
  </si>
  <si>
    <t xml:space="preserve">故障</t>
  </si>
  <si>
    <r>
      <rPr>
        <sz val="9"/>
        <color rgb="FF595959"/>
        <rFont val="Yu Gothic"/>
        <family val="0"/>
        <charset val="1"/>
      </rPr>
      <t xml:space="preserve">project.pha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Yu Gothic"/>
        <family val="0"/>
        <charset val="1"/>
      </rPr>
      <t xml:space="preserve">PHA_Organizer 3.1.1</t>
    </r>
    <r>
      <rPr>
        <sz val="9"/>
        <color rgb="FF595959"/>
        <rFont val="WenQuanYi Zen Hei"/>
        <family val="2"/>
      </rPr>
      <t xml:space="preserve">）設定値を抽出 </t>
    </r>
    <r>
      <rPr>
        <sz val="9"/>
        <color rgb="FF595959"/>
        <rFont val="Yu Gothic"/>
        <family val="0"/>
        <charset val="1"/>
      </rPr>
      <t xml:space="preserve">2026-07-21</t>
    </r>
  </si>
  <si>
    <r>
      <rPr>
        <sz val="9"/>
        <color rgb="FF595959"/>
        <rFont val="Yu Gothic"/>
        <family val="0"/>
        <charset val="1"/>
      </rPr>
      <t xml:space="preserve">DCS</t>
    </r>
    <r>
      <rPr>
        <sz val="9"/>
        <color rgb="FF595959"/>
        <rFont val="WenQuanYi Zen Hei"/>
        <family val="2"/>
      </rPr>
      <t xml:space="preserve">は各制御ループ・検出システムに共通で入る（コモン事象）</t>
    </r>
  </si>
  <si>
    <t xml:space="preserve">検出端</t>
  </si>
  <si>
    <t xml:space="preserve">温度計／故障</t>
  </si>
  <si>
    <t xml:space="preserve">温度計</t>
  </si>
  <si>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回点検（</t>
    </r>
    <r>
      <rPr>
        <sz val="9"/>
        <color rgb="FF595959"/>
        <rFont val="Yu Gothic"/>
        <family val="0"/>
        <charset val="1"/>
      </rPr>
      <t xml:space="preserve">T=720h</t>
    </r>
    <r>
      <rPr>
        <sz val="9"/>
        <color rgb="FF595959"/>
        <rFont val="WenQuanYi Zen Hei"/>
        <family val="2"/>
      </rPr>
      <t xml:space="preserve">）の待機系換算</t>
    </r>
  </si>
  <si>
    <t xml:space="preserve">流量計／故障</t>
  </si>
  <si>
    <t xml:space="preserve">流量計</t>
  </si>
  <si>
    <t xml:space="preserve">液面計／故障</t>
  </si>
  <si>
    <t xml:space="preserve">液面計</t>
  </si>
  <si>
    <t xml:space="preserve">圧力計／故障</t>
  </si>
  <si>
    <t xml:space="preserve">圧力計</t>
  </si>
  <si>
    <t xml:space="preserve">分析計／故障</t>
  </si>
  <si>
    <t xml:space="preserve">分析計</t>
  </si>
  <si>
    <t xml:space="preserve">警報</t>
  </si>
  <si>
    <t xml:space="preserve">アラーム／故障</t>
  </si>
  <si>
    <t xml:space="preserve">アラーム</t>
  </si>
  <si>
    <t xml:space="preserve">ロジック</t>
  </si>
  <si>
    <t xml:space="preserve">リレー回路／故障</t>
  </si>
  <si>
    <t xml:space="preserve">リレー回路</t>
  </si>
  <si>
    <t xml:space="preserve">インターロックの論理回路</t>
  </si>
  <si>
    <t xml:space="preserve">操作端</t>
  </si>
  <si>
    <t xml:space="preserve">空気調整弁／故障</t>
  </si>
  <si>
    <t xml:space="preserve">空気調整弁</t>
  </si>
  <si>
    <t xml:space="preserve">制御弁・遮断弁の駆動部</t>
  </si>
  <si>
    <t xml:space="preserve">電磁弁／故障</t>
  </si>
  <si>
    <t xml:space="preserve">電磁弁</t>
  </si>
  <si>
    <t xml:space="preserve">機械</t>
  </si>
  <si>
    <t xml:space="preserve">ポンプ／故障</t>
  </si>
  <si>
    <t xml:space="preserve">ポンプ</t>
  </si>
  <si>
    <t xml:space="preserve">コンプレッサー／故障</t>
  </si>
  <si>
    <t xml:space="preserve">コンプレッサー</t>
  </si>
  <si>
    <r>
      <rPr>
        <sz val="9"/>
        <color rgb="FF595959"/>
        <rFont val="WenQuanYi Zen Hei"/>
        <family val="2"/>
      </rPr>
      <t xml:space="preserve">デマンド確率は未設定（</t>
    </r>
    <r>
      <rPr>
        <sz val="9"/>
        <color rgb="FF595959"/>
        <rFont val="Yu Gothic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</si>
  <si>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t xml:space="preserve">チェッキ弁／故障</t>
  </si>
  <si>
    <t xml:space="preserve">チェッキ弁</t>
  </si>
  <si>
    <t xml:space="preserve">安全弁／故障</t>
  </si>
  <si>
    <t xml:space="preserve">ヒューマンエラー</t>
  </si>
  <si>
    <t xml:space="preserve">ヒューマンエラー／アラームに気づかない</t>
  </si>
  <si>
    <t xml:space="preserve">アラームに気づかない</t>
  </si>
  <si>
    <r>
      <rPr>
        <sz val="10"/>
        <rFont val="WenQuanYi Zen Hei"/>
        <family val="2"/>
      </rPr>
      <t xml:space="preserve">ヒューマンエラー／発見したが対処できない（時間余裕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分）</t>
    </r>
  </si>
  <si>
    <r>
      <rPr>
        <sz val="10"/>
        <rFont val="WenQuanYi Zen Hei"/>
        <family val="2"/>
      </rPr>
      <t xml:space="preserve">発見したが対処できない（時間余裕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分）</t>
    </r>
  </si>
  <si>
    <r>
      <rPr>
        <sz val="10"/>
        <rFont val="WenQuanYi Zen Hei"/>
        <family val="2"/>
      </rPr>
      <t xml:space="preserve">ヒューマンエラー／発見したが対処できない（時間余裕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時間）</t>
    </r>
  </si>
  <si>
    <r>
      <rPr>
        <sz val="10"/>
        <rFont val="WenQuanYi Zen Hei"/>
        <family val="2"/>
      </rPr>
      <t xml:space="preserve">発見したが対処できない（時間余裕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時間）</t>
    </r>
  </si>
  <si>
    <r>
      <rPr>
        <sz val="10"/>
        <rFont val="WenQuanYi Zen Hei"/>
        <family val="2"/>
      </rPr>
      <t xml:space="preserve">ヒューマンエラー／発見したが対処できない（時間余裕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日）</t>
    </r>
  </si>
  <si>
    <r>
      <rPr>
        <sz val="10"/>
        <rFont val="WenQuanYi Zen Hei"/>
        <family val="2"/>
      </rPr>
      <t xml:space="preserve">発見したが対処できない（時間余裕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日）</t>
    </r>
  </si>
  <si>
    <r>
      <rPr>
        <sz val="9"/>
        <color rgb="FF595959"/>
        <rFont val="WenQuanYi Zen Hei"/>
        <family val="2"/>
      </rPr>
      <t xml:space="preserve">（黄色の行は追記用。</t>
    </r>
    <r>
      <rPr>
        <sz val="9"/>
        <color rgb="FF595959"/>
        <rFont val="Yu Gothic"/>
        <family val="0"/>
        <charset val="1"/>
      </rPr>
      <t xml:space="preserve">λ</t>
    </r>
    <r>
      <rPr>
        <sz val="9"/>
        <color rgb="FF595959"/>
        <rFont val="WenQuanYi Zen Hei"/>
        <family val="2"/>
      </rPr>
      <t xml:space="preserve">と</t>
    </r>
    <r>
      <rPr>
        <sz val="9"/>
        <color rgb="FF595959"/>
        <rFont val="Yu Gothic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を入れれば検算列でデマンド確率の目安を作れる）</t>
    </r>
  </si>
  <si>
    <t xml:space="preserve">シナリオ計算（シミュレーター）</t>
  </si>
  <si>
    <r>
      <rPr>
        <sz val="9"/>
        <color rgb="FF595959"/>
        <rFont val="WenQuanYi Zen Hei"/>
        <family val="2"/>
      </rPr>
      <t xml:space="preserve">黄色セルだけ触る。初期値には例題（</t>
    </r>
    <r>
      <rPr>
        <sz val="9"/>
        <color rgb="FF595959"/>
        <rFont val="Yu Gothic"/>
        <family val="0"/>
        <charset val="1"/>
      </rPr>
      <t xml:space="preserve">FC12</t>
    </r>
    <r>
      <rPr>
        <sz val="9"/>
        <color rgb="FF595959"/>
        <rFont val="WenQuanYi Zen Hei"/>
        <family val="2"/>
      </rPr>
      <t xml:space="preserve">開度過少、</t>
    </r>
    <r>
      <rPr>
        <sz val="9"/>
        <color rgb="FF595959"/>
        <rFont val="Yu Gothic"/>
        <family val="0"/>
        <charset val="1"/>
      </rPr>
      <t xml:space="preserve">V-1204</t>
    </r>
    <r>
      <rPr>
        <sz val="9"/>
        <color rgb="FF595959"/>
        <rFont val="WenQuanYi Zen Hei"/>
        <family val="2"/>
      </rPr>
      <t xml:space="preserve">レベル上昇）を入れてある。</t>
    </r>
  </si>
  <si>
    <r>
      <rPr>
        <b val="true"/>
        <sz val="11"/>
        <rFont val="Yu Gothic"/>
        <family val="0"/>
        <charset val="1"/>
      </rPr>
      <t xml:space="preserve">STEP0 </t>
    </r>
    <r>
      <rPr>
        <b val="true"/>
        <sz val="11"/>
        <rFont val="WenQuanYi Zen Hei"/>
        <family val="2"/>
      </rPr>
      <t xml:space="preserve">前提</t>
    </r>
  </si>
  <si>
    <r>
      <rPr>
        <sz val="10"/>
        <rFont val="WenQuanYi Zen Hei"/>
        <family val="2"/>
      </rPr>
      <t xml:space="preserve">年間稼働時間 </t>
    </r>
    <r>
      <rPr>
        <sz val="10"/>
        <rFont val="Yu Gothic"/>
        <family val="0"/>
        <charset val="1"/>
      </rPr>
      <t xml:space="preserve">H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h/</t>
    </r>
    <r>
      <rPr>
        <sz val="1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</si>
  <si>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通年連続運転なら</t>
    </r>
    <r>
      <rPr>
        <sz val="9"/>
        <color rgb="FF595959"/>
        <rFont val="Yu Gothic"/>
        <family val="0"/>
        <charset val="1"/>
      </rPr>
      <t xml:space="preserve">8760</t>
    </r>
    <r>
      <rPr>
        <sz val="9"/>
        <color rgb="FF595959"/>
        <rFont val="WenQuanYi Zen Hei"/>
        <family val="2"/>
      </rPr>
      <t xml:space="preserve">。定修等を除くなら実稼働時間に変更。</t>
    </r>
  </si>
  <si>
    <r>
      <rPr>
        <b val="true"/>
        <sz val="11"/>
        <rFont val="Yu Gothic"/>
        <family val="0"/>
        <charset val="1"/>
      </rPr>
      <t xml:space="preserve">STEP1 </t>
    </r>
    <r>
      <rPr>
        <b val="true"/>
        <sz val="11"/>
        <rFont val="WenQuanYi Zen Hei"/>
        <family val="2"/>
      </rPr>
      <t xml:space="preserve">起因事象（機器の故障）――この中は</t>
    </r>
    <r>
      <rPr>
        <b val="true"/>
        <sz val="11"/>
        <rFont val="Yu Gothic"/>
        <family val="0"/>
        <charset val="1"/>
      </rPr>
      <t xml:space="preserve">OR</t>
    </r>
    <r>
      <rPr>
        <b val="true"/>
        <sz val="11"/>
        <rFont val="WenQuanYi Zen Hei"/>
        <family val="2"/>
      </rPr>
      <t xml:space="preserve">（どれか</t>
    </r>
    <r>
      <rPr>
        <b val="true"/>
        <sz val="11"/>
        <rFont val="Yu Gothic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つ壊れれば起因事象）＝</t>
    </r>
    <r>
      <rPr>
        <b val="true"/>
        <sz val="11"/>
        <rFont val="Yu Gothic"/>
        <family val="0"/>
        <charset val="1"/>
      </rPr>
      <t xml:space="preserve">λ</t>
    </r>
    <r>
      <rPr>
        <b val="true"/>
        <sz val="11"/>
        <rFont val="WenQuanYi Zen Hei"/>
        <family val="2"/>
      </rPr>
      <t xml:space="preserve">は足し算</t>
    </r>
  </si>
  <si>
    <t xml:space="preserve">構成要素（ドロップダウンで選択）</t>
  </si>
  <si>
    <t xml:space="preserve">λ(/hr)</t>
  </si>
  <si>
    <t xml:space="preserve">メモ</t>
  </si>
  <si>
    <r>
      <rPr>
        <sz val="10"/>
        <color rgb="FF0000FF"/>
        <rFont val="Yu Gothic"/>
        <family val="0"/>
        <charset val="1"/>
      </rPr>
      <t xml:space="preserve">FC12</t>
    </r>
    <r>
      <rPr>
        <sz val="10"/>
        <color rgb="FF0000FF"/>
        <rFont val="WenQuanYi Zen Hei"/>
        <family val="2"/>
      </rPr>
      <t xml:space="preserve">制御ループの検出器</t>
    </r>
  </si>
  <si>
    <r>
      <rPr>
        <sz val="10"/>
        <color rgb="FF0000FF"/>
        <rFont val="Yu Gothic"/>
        <family val="0"/>
        <charset val="1"/>
      </rPr>
      <t xml:space="preserve">DCS</t>
    </r>
    <r>
      <rPr>
        <sz val="10"/>
        <color rgb="FF0000FF"/>
        <rFont val="WenQuanYi Zen Hei"/>
        <family val="2"/>
      </rPr>
      <t xml:space="preserve">／故障</t>
    </r>
  </si>
  <si>
    <r>
      <rPr>
        <sz val="10"/>
        <color rgb="FF0000FF"/>
        <rFont val="WenQuanYi Zen Hei"/>
        <family val="2"/>
      </rPr>
      <t xml:space="preserve">同ループの</t>
    </r>
    <r>
      <rPr>
        <sz val="10"/>
        <color rgb="FF0000FF"/>
        <rFont val="Yu Gothic"/>
        <family val="0"/>
        <charset val="1"/>
      </rPr>
      <t xml:space="preserve">DCS</t>
    </r>
  </si>
  <si>
    <t xml:space="preserve">同ループの操作端</t>
  </si>
  <si>
    <r>
      <rPr>
        <b val="true"/>
        <sz val="10"/>
        <rFont val="Yu Gothic"/>
        <family val="0"/>
        <charset val="1"/>
      </rPr>
      <t xml:space="preserve">λ</t>
    </r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Yu Gothic"/>
        <family val="0"/>
        <charset val="1"/>
      </rPr>
      <t xml:space="preserve">/hr</t>
    </r>
    <r>
      <rPr>
        <b val="true"/>
        <sz val="10"/>
        <rFont val="WenQuanYi Zen Hei"/>
        <family val="2"/>
      </rPr>
      <t xml:space="preserve">）＝</t>
    </r>
    <r>
      <rPr>
        <b val="true"/>
        <sz val="10"/>
        <rFont val="Yu Gothic"/>
        <family val="0"/>
        <charset val="1"/>
      </rPr>
      <t xml:space="preserve">OR</t>
    </r>
    <r>
      <rPr>
        <b val="true"/>
        <sz val="10"/>
        <rFont val="WenQuanYi Zen Hei"/>
        <family val="2"/>
      </rPr>
      <t xml:space="preserve">＝和</t>
    </r>
  </si>
  <si>
    <r>
      <rPr>
        <b val="true"/>
        <sz val="10"/>
        <rFont val="WenQuanYi Zen Hei"/>
        <family val="2"/>
      </rPr>
      <t xml:space="preserve">起因事象頻度 </t>
    </r>
    <r>
      <rPr>
        <b val="true"/>
        <sz val="10"/>
        <rFont val="Yu Gothic"/>
        <family val="0"/>
        <charset val="1"/>
      </rPr>
      <t xml:space="preserve">F0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Yu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年）</t>
    </r>
  </si>
  <si>
    <r>
      <rPr>
        <b val="true"/>
        <sz val="11"/>
        <rFont val="Yu Gothic"/>
        <family val="0"/>
        <charset val="1"/>
      </rPr>
      <t xml:space="preserve">STEP2 </t>
    </r>
    <r>
      <rPr>
        <b val="true"/>
        <sz val="11"/>
        <rFont val="WenQuanYi Zen Hei"/>
        <family val="2"/>
      </rPr>
      <t xml:space="preserve">安全防護層――層と層の間は</t>
    </r>
    <r>
      <rPr>
        <b val="true"/>
        <sz val="11"/>
        <rFont val="Yu Gothic"/>
        <family val="0"/>
        <charset val="1"/>
      </rPr>
      <t xml:space="preserve">AND</t>
    </r>
    <r>
      <rPr>
        <b val="true"/>
        <sz val="11"/>
        <rFont val="WenQuanYi Zen Hei"/>
        <family val="2"/>
      </rPr>
      <t xml:space="preserve">（全部失敗して初めて最終事象）＝掛け算</t>
    </r>
  </si>
  <si>
    <r>
      <rPr>
        <sz val="9"/>
        <color rgb="FF595959"/>
        <rFont val="WenQuanYi Zen Hei"/>
        <family val="2"/>
      </rPr>
      <t xml:space="preserve">このシートは「</t>
    </r>
    <r>
      <rPr>
        <sz val="9"/>
        <color rgb="FF595959"/>
        <rFont val="Yu Gothic"/>
        <family val="0"/>
        <charset val="1"/>
      </rPr>
      <t xml:space="preserve">AND</t>
    </r>
    <r>
      <rPr>
        <sz val="9"/>
        <color rgb="FF595959"/>
        <rFont val="WenQuanYi Zen Hei"/>
        <family val="2"/>
      </rPr>
      <t xml:space="preserve">鎖</t>
    </r>
    <r>
      <rPr>
        <sz val="9"/>
        <color rgb="FF595959"/>
        <rFont val="Yu Gothic"/>
        <family val="0"/>
        <charset val="1"/>
      </rPr>
      <t xml:space="preserve">×OR</t>
    </r>
    <r>
      <rPr>
        <sz val="9"/>
        <color rgb="FF595959"/>
        <rFont val="WenQuanYi Zen Hei"/>
        <family val="2"/>
      </rPr>
      <t xml:space="preserve">束」の定型（チェーン型）に収まるシナリオ専用の簡易版。ゲート列は層内が全</t>
    </r>
    <r>
      <rPr>
        <sz val="9"/>
        <color rgb="FF595959"/>
        <rFont val="Yu Gothic"/>
        <family val="0"/>
        <charset val="1"/>
      </rPr>
      <t xml:space="preserve">OR/</t>
    </r>
    <r>
      <rPr>
        <sz val="9"/>
        <color rgb="FF595959"/>
        <rFont val="WenQuanYi Zen Hei"/>
        <family val="2"/>
      </rPr>
      <t xml:space="preserve">全</t>
    </r>
    <r>
      <rPr>
        <sz val="9"/>
        <color rgb="FF595959"/>
        <rFont val="Yu Gothic"/>
        <family val="0"/>
        <charset val="1"/>
      </rPr>
      <t xml:space="preserve">AND</t>
    </r>
    <r>
      <rPr>
        <sz val="9"/>
        <color rgb="FF595959"/>
        <rFont val="WenQuanYi Zen Hei"/>
        <family val="2"/>
      </rPr>
      <t xml:space="preserve">のときだけ使える。ゲートが混在・入れ子になる構造は</t>
    </r>
    <r>
      <rPr>
        <sz val="9"/>
        <color rgb="FF595959"/>
        <rFont val="Yu Gothic"/>
        <family val="0"/>
        <charset val="1"/>
      </rPr>
      <t xml:space="preserve">FT</t>
    </r>
    <r>
      <rPr>
        <sz val="9"/>
        <color rgb="FF595959"/>
        <rFont val="WenQuanYi Zen Hei"/>
        <family val="2"/>
      </rPr>
      <t xml:space="preserve">計算</t>
    </r>
    <r>
      <rPr>
        <sz val="9"/>
        <color rgb="FF595959"/>
        <rFont val="Yu Gothic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カットセットシートで組むこと。手入力</t>
    </r>
    <r>
      <rPr>
        <sz val="9"/>
        <color rgb="FF595959"/>
        <rFont val="Yu Gothic"/>
        <family val="0"/>
        <charset val="1"/>
      </rPr>
      <t xml:space="preserve">PFD</t>
    </r>
    <r>
      <rPr>
        <sz val="9"/>
        <color rgb="FF595959"/>
        <rFont val="WenQuanYi Zen Hei"/>
        <family val="2"/>
      </rPr>
      <t xml:space="preserve">に値を入れるとそちらを優先。「有効」を</t>
    </r>
    <r>
      <rPr>
        <sz val="9"/>
        <color rgb="FF595959"/>
        <rFont val="Yu Gothic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にするとその層なし（未設置）として計算。</t>
    </r>
  </si>
  <si>
    <t xml:space="preserve">層</t>
  </si>
  <si>
    <t xml:space="preserve">層の名称</t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</si>
  <si>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</si>
  <si>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</si>
  <si>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</si>
  <si>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</si>
  <si>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</si>
  <si>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6</t>
    </r>
  </si>
  <si>
    <t xml:space="preserve">PFD1</t>
  </si>
  <si>
    <t xml:space="preserve">PFD2</t>
  </si>
  <si>
    <t xml:space="preserve">PFD3</t>
  </si>
  <si>
    <t xml:space="preserve">PFD4</t>
  </si>
  <si>
    <t xml:space="preserve">PFD5</t>
  </si>
  <si>
    <t xml:space="preserve">PFD6</t>
  </si>
  <si>
    <t xml:space="preserve">ゲート</t>
  </si>
  <si>
    <r>
      <rPr>
        <b val="true"/>
        <sz val="10"/>
        <rFont val="WenQuanYi Zen Hei"/>
        <family val="2"/>
      </rPr>
      <t xml:space="preserve">層</t>
    </r>
    <r>
      <rPr>
        <b val="true"/>
        <sz val="10"/>
        <rFont val="Yu Gothic"/>
        <family val="0"/>
        <charset val="1"/>
      </rPr>
      <t xml:space="preserve">PFD(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Yu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</si>
  <si>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手入力</t>
    </r>
    <r>
      <rPr>
        <b val="true"/>
        <sz val="10"/>
        <rFont val="Yu Gothic"/>
        <family val="0"/>
        <charset val="1"/>
      </rPr>
      <t xml:space="preserve">PFD</t>
    </r>
  </si>
  <si>
    <t xml:space="preserve">有効</t>
  </si>
  <si>
    <r>
      <rPr>
        <b val="true"/>
        <sz val="10"/>
        <rFont val="WenQuanYi Zen Hei"/>
        <family val="2"/>
      </rPr>
      <t xml:space="preserve">採用</t>
    </r>
    <r>
      <rPr>
        <b val="true"/>
        <sz val="10"/>
        <rFont val="Yu Gothic"/>
        <family val="0"/>
        <charset val="1"/>
      </rPr>
      <t xml:space="preserve">PFD</t>
    </r>
  </si>
  <si>
    <r>
      <rPr>
        <b val="true"/>
        <sz val="10"/>
        <rFont val="WenQuanYi Zen Hei"/>
        <family val="2"/>
      </rPr>
      <t xml:space="preserve">低減倍率</t>
    </r>
    <r>
      <rPr>
        <b val="true"/>
        <sz val="10"/>
        <rFont val="Yu Gothic"/>
        <family val="0"/>
        <charset val="1"/>
      </rPr>
      <t xml:space="preserve">(1/PFD)</t>
    </r>
  </si>
  <si>
    <t xml:space="preserve">この層まで全て失敗した頻度</t>
  </si>
  <si>
    <r>
      <rPr>
        <sz val="10"/>
        <color rgb="FF0000FF"/>
        <rFont val="Yu Gothic"/>
        <family val="0"/>
        <charset val="1"/>
      </rPr>
      <t xml:space="preserve">LK</t>
    </r>
    <r>
      <rPr>
        <sz val="10"/>
        <color rgb="FF0000FF"/>
        <rFont val="WenQuanYi Zen Hei"/>
        <family val="2"/>
      </rPr>
      <t xml:space="preserve">液面検出で運転員が対処（時間余裕</t>
    </r>
    <r>
      <rPr>
        <sz val="10"/>
        <color rgb="FF0000FF"/>
        <rFont val="Yu Gothic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分）</t>
    </r>
  </si>
  <si>
    <r>
      <rPr>
        <sz val="10"/>
        <color rgb="FF0000FF"/>
        <rFont val="WenQuanYi Zen Hei"/>
        <family val="2"/>
      </rPr>
      <t xml:space="preserve">ヒューマンエラー／発見したが対処できない（時間余裕</t>
    </r>
    <r>
      <rPr>
        <sz val="10"/>
        <color rgb="FF0000FF"/>
        <rFont val="Yu Gothic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分）</t>
    </r>
  </si>
  <si>
    <t xml:space="preserve">OR</t>
  </si>
  <si>
    <r>
      <rPr>
        <sz val="10"/>
        <color rgb="FF0000FF"/>
        <rFont val="Yu Gothic"/>
        <family val="0"/>
        <charset val="1"/>
      </rPr>
      <t xml:space="preserve">OSS</t>
    </r>
    <r>
      <rPr>
        <sz val="10"/>
        <color rgb="FF0000FF"/>
        <rFont val="WenQuanYi Zen Hei"/>
        <family val="2"/>
      </rPr>
      <t xml:space="preserve">（圧力検出で自動遮断）</t>
    </r>
  </si>
  <si>
    <r>
      <rPr>
        <b val="true"/>
        <sz val="11"/>
        <rFont val="Yu Gothic"/>
        <family val="0"/>
        <charset val="1"/>
      </rPr>
      <t xml:space="preserve">STEP3 </t>
    </r>
    <r>
      <rPr>
        <b val="true"/>
        <sz val="11"/>
        <rFont val="WenQuanYi Zen Hei"/>
        <family val="2"/>
      </rPr>
      <t xml:space="preserve">結果</t>
    </r>
  </si>
  <si>
    <r>
      <rPr>
        <b val="true"/>
        <sz val="10"/>
        <rFont val="WenQuanYi Zen Hei"/>
        <family val="2"/>
      </rPr>
      <t xml:space="preserve">最終事象の頻度（</t>
    </r>
    <r>
      <rPr>
        <b val="true"/>
        <sz val="10"/>
        <rFont val="Yu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年）</t>
    </r>
  </si>
  <si>
    <r>
      <rPr>
        <b val="true"/>
        <sz val="10"/>
        <rFont val="WenQuanYi Zen Hei"/>
        <family val="2"/>
      </rPr>
      <t xml:space="preserve">最終事象の頻度（</t>
    </r>
    <r>
      <rPr>
        <b val="true"/>
        <sz val="10"/>
        <rFont val="Yu Gothic"/>
        <family val="0"/>
        <charset val="1"/>
      </rPr>
      <t xml:space="preserve">/hr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</si>
  <si>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判定ベース（</t>
    </r>
    <r>
      <rPr>
        <sz val="10"/>
        <rFont val="Yu Gothic"/>
        <family val="0"/>
        <charset val="1"/>
      </rPr>
      <t xml:space="preserve">/hr </t>
    </r>
    <r>
      <rPr>
        <sz val="10"/>
        <rFont val="WenQuanYi Zen Hei"/>
        <family val="2"/>
      </rPr>
      <t xml:space="preserve">か 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年 を選択）</t>
    </r>
  </si>
  <si>
    <t xml:space="preserve">/hr</t>
  </si>
  <si>
    <r>
      <rPr>
        <sz val="9"/>
        <color rgb="FF595959"/>
        <rFont val="Yu Gothic"/>
        <family val="0"/>
        <charset val="1"/>
      </rPr>
      <t xml:space="preserve">PHA_Organizer</t>
    </r>
    <r>
      <rPr>
        <sz val="9"/>
        <color rgb="FF595959"/>
        <rFont val="WenQuanYi Zen Hei"/>
        <family val="2"/>
      </rPr>
      <t xml:space="preserve">の計算値は</t>
    </r>
    <r>
      <rPr>
        <sz val="9"/>
        <color rgb="FF595959"/>
        <rFont val="Yu Gothic"/>
        <family val="0"/>
        <charset val="1"/>
      </rPr>
      <t xml:space="preserve">/hr</t>
    </r>
    <r>
      <rPr>
        <sz val="9"/>
        <color rgb="FF595959"/>
        <rFont val="WenQuanYi Zen Hei"/>
        <family val="2"/>
      </rPr>
      <t xml:space="preserve">。リスクマトリックスのしきい値もこのベースで引く。</t>
    </r>
  </si>
  <si>
    <t xml:space="preserve">判定に使う値</t>
  </si>
  <si>
    <t xml:space="preserve">頻度レベル（しきい値は要確認）</t>
  </si>
  <si>
    <r>
      <rPr>
        <sz val="9"/>
        <color rgb="FF595959"/>
        <rFont val="WenQuanYi Zen Hei"/>
        <family val="2"/>
      </rPr>
      <t xml:space="preserve">しきい値はリスクマトリックスシートの黄色セル。</t>
    </r>
    <r>
      <rPr>
        <sz val="9"/>
        <color rgb="FF595959"/>
        <rFont val="Yu Gothic"/>
        <family val="0"/>
        <charset val="1"/>
      </rPr>
      <t xml:space="preserve">C-2-3</t>
    </r>
    <r>
      <rPr>
        <sz val="9"/>
        <color rgb="FF595959"/>
        <rFont val="WenQuanYi Zen Hei"/>
        <family val="2"/>
      </rPr>
      <t xml:space="preserve">の正式値に差し替えてから判定を使うこと。</t>
    </r>
  </si>
  <si>
    <r>
      <rPr>
        <sz val="10"/>
        <rFont val="WenQuanYi Zen Hei"/>
        <family val="2"/>
      </rPr>
      <t xml:space="preserve">影響度レベル（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を入力）</t>
    </r>
  </si>
  <si>
    <t xml:space="preserve">リスクゾーン（参考・要確認）</t>
  </si>
  <si>
    <r>
      <rPr>
        <b val="true"/>
        <sz val="11"/>
        <rFont val="WenQuanYi Zen Hei"/>
        <family val="2"/>
      </rPr>
      <t xml:space="preserve">対策効果の比較（</t>
    </r>
    <r>
      <rPr>
        <b val="true"/>
        <sz val="11"/>
        <rFont val="Yu Gothic"/>
        <family val="0"/>
        <charset val="1"/>
      </rPr>
      <t xml:space="preserve">What-if</t>
    </r>
    <r>
      <rPr>
        <b val="true"/>
        <sz val="11"/>
        <rFont val="WenQuanYi Zen Hei"/>
        <family val="2"/>
      </rPr>
      <t xml:space="preserve">）</t>
    </r>
  </si>
  <si>
    <t xml:space="preserve">ベースケースの頻度（判定に使う値を書き留める）</t>
  </si>
  <si>
    <t xml:space="preserve">現状ケースの「判定に使う値」をここに数値でメモしてから層を変更すると、下で低減倍率が出る。</t>
  </si>
  <si>
    <r>
      <rPr>
        <sz val="10"/>
        <rFont val="WenQuanYi Zen Hei"/>
        <family val="2"/>
      </rPr>
      <t xml:space="preserve">低減倍率（ベース</t>
    </r>
    <r>
      <rPr>
        <sz val="10"/>
        <rFont val="Yu Gothic"/>
        <family val="0"/>
        <charset val="1"/>
      </rPr>
      <t xml:space="preserve">÷</t>
    </r>
    <r>
      <rPr>
        <sz val="10"/>
        <rFont val="WenQuanYi Zen Hei"/>
        <family val="2"/>
      </rPr>
      <t xml:space="preserve">現ケース）</t>
    </r>
  </si>
  <si>
    <r>
      <rPr>
        <b val="true"/>
        <sz val="14"/>
        <rFont val="Yu Gothic"/>
        <family val="0"/>
        <charset val="1"/>
      </rPr>
      <t xml:space="preserve">FT</t>
    </r>
    <r>
      <rPr>
        <b val="true"/>
        <sz val="14"/>
        <rFont val="WenQuanYi Zen Hei"/>
        <family val="2"/>
      </rPr>
      <t xml:space="preserve">計算（カットセット方式）――任意の</t>
    </r>
    <r>
      <rPr>
        <b val="true"/>
        <sz val="14"/>
        <rFont val="Yu Gothic"/>
        <family val="0"/>
        <charset val="1"/>
      </rPr>
      <t xml:space="preserve">AND/OR</t>
    </r>
    <r>
      <rPr>
        <b val="true"/>
        <sz val="14"/>
        <rFont val="WenQuanYi Zen Hei"/>
        <family val="2"/>
      </rPr>
      <t xml:space="preserve">構造を扱える一般形</t>
    </r>
  </si>
  <si>
    <r>
      <rPr>
        <sz val="9"/>
        <color rgb="FF595959"/>
        <rFont val="WenQuanYi Zen Hei"/>
        <family val="2"/>
      </rPr>
      <t xml:space="preserve">ゲートがノードごとにどう入れ子になっていても、</t>
    </r>
    <r>
      <rPr>
        <sz val="9"/>
        <color rgb="FF595959"/>
        <rFont val="Yu Gothic"/>
        <family val="0"/>
        <charset val="1"/>
      </rPr>
      <t xml:space="preserve">FT</t>
    </r>
    <r>
      <rPr>
        <sz val="9"/>
        <color rgb="FF595959"/>
        <rFont val="WenQuanYi Zen Hei"/>
        <family val="2"/>
      </rPr>
      <t xml:space="preserve">は「カットセット＝同時に成立すると最終事象になる基本事象の組合せ」の一覧に展開できる。行の中は</t>
    </r>
    <r>
      <rPr>
        <sz val="9"/>
        <color rgb="FF595959"/>
        <rFont val="Yu Gothic"/>
        <family val="0"/>
        <charset val="1"/>
      </rPr>
      <t xml:space="preserve">AND</t>
    </r>
    <r>
      <rPr>
        <sz val="9"/>
        <color rgb="FF595959"/>
        <rFont val="WenQuanYi Zen Hei"/>
        <family val="2"/>
      </rPr>
      <t xml:space="preserve">（積）、行と行の間は</t>
    </r>
    <r>
      <rPr>
        <sz val="9"/>
        <color rgb="FF595959"/>
        <rFont val="Yu Gothic"/>
        <family val="0"/>
        <charset val="1"/>
      </rPr>
      <t xml:space="preserve">OR</t>
    </r>
    <r>
      <rPr>
        <sz val="9"/>
        <color rgb="FF595959"/>
        <rFont val="WenQuanYi Zen Hei"/>
        <family val="2"/>
      </rPr>
      <t xml:space="preserve">（和）。これが</t>
    </r>
    <r>
      <rPr>
        <sz val="9"/>
        <color rgb="FF595959"/>
        <rFont val="Yu Gothic"/>
        <family val="0"/>
        <charset val="1"/>
      </rPr>
      <t xml:space="preserve">PHA_Organizer</t>
    </r>
    <r>
      <rPr>
        <sz val="9"/>
        <color rgb="FF595959"/>
        <rFont val="WenQuanYi Zen Hei"/>
        <family val="2"/>
      </rPr>
      <t xml:space="preserve">の計算そのもの。</t>
    </r>
  </si>
  <si>
    <t xml:space="preserve">カットセットの作り方（ブール簡約のルール）</t>
  </si>
  <si>
    <r>
      <rPr>
        <sz val="10"/>
        <rFont val="Yu Gothic"/>
        <family val="0"/>
        <charset val="1"/>
      </rPr>
      <t xml:space="preserve">1. FT</t>
    </r>
    <r>
      <rPr>
        <sz val="10"/>
        <rFont val="WenQuanYi Zen Hei"/>
        <family val="2"/>
      </rPr>
      <t xml:space="preserve">を上からたどり、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なら「その行の組合せに追加」、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なら「行を分ける」。最終事象に至る組合せを全部書き出す。</t>
    </r>
  </si>
  <si>
    <r>
      <rPr>
        <sz val="10"/>
        <rFont val="Yu Gothic"/>
        <family val="0"/>
        <charset val="1"/>
      </rPr>
      <t xml:space="preserve">2. </t>
    </r>
    <r>
      <rPr>
        <sz val="10"/>
        <rFont val="WenQuanYi Zen Hei"/>
        <family val="2"/>
      </rPr>
      <t xml:space="preserve">同じ事象が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つの行に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回出たら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回にする（</t>
    </r>
    <r>
      <rPr>
        <sz val="10"/>
        <rFont val="Yu Gothic"/>
        <family val="0"/>
        <charset val="1"/>
      </rPr>
      <t xml:space="preserve">A×A</t>
    </r>
    <r>
      <rPr>
        <sz val="10"/>
        <rFont val="WenQuanYi Zen Hei"/>
        <family val="2"/>
      </rPr>
      <t xml:space="preserve">＝</t>
    </r>
    <r>
      <rPr>
        <sz val="10"/>
        <rFont val="Yu Gothic"/>
        <family val="0"/>
        <charset val="1"/>
      </rPr>
      <t xml:space="preserve">A</t>
    </r>
    <r>
      <rPr>
        <sz val="10"/>
        <rFont val="WenQuanYi Zen Hei"/>
        <family val="2"/>
      </rPr>
      <t xml:space="preserve">）。</t>
    </r>
  </si>
  <si>
    <r>
      <rPr>
        <sz val="10"/>
        <rFont val="Yu Gothic"/>
        <family val="0"/>
        <charset val="1"/>
      </rPr>
      <t xml:space="preserve">3. </t>
    </r>
    <r>
      <rPr>
        <sz val="10"/>
        <rFont val="WenQuanYi Zen Hei"/>
        <family val="2"/>
      </rPr>
      <t xml:space="preserve">ある行が別の行を丸ごと含んでいたら、長い方の行を消す（</t>
    </r>
    <r>
      <rPr>
        <sz val="10"/>
        <rFont val="Yu Gothic"/>
        <family val="0"/>
        <charset val="1"/>
      </rPr>
      <t xml:space="preserve">A</t>
    </r>
    <r>
      <rPr>
        <sz val="10"/>
        <rFont val="WenQuanYi Zen Hei"/>
        <family val="2"/>
      </rPr>
      <t xml:space="preserve">＋</t>
    </r>
    <r>
      <rPr>
        <sz val="10"/>
        <rFont val="Yu Gothic"/>
        <family val="0"/>
        <charset val="1"/>
      </rPr>
      <t xml:space="preserve">A×B</t>
    </r>
    <r>
      <rPr>
        <sz val="10"/>
        <rFont val="WenQuanYi Zen Hei"/>
        <family val="2"/>
      </rPr>
      <t xml:space="preserve">＝</t>
    </r>
    <r>
      <rPr>
        <sz val="10"/>
        <rFont val="Yu Gothic"/>
        <family val="0"/>
        <charset val="1"/>
      </rPr>
      <t xml:space="preserve">A</t>
    </r>
    <r>
      <rPr>
        <sz val="10"/>
        <rFont val="WenQuanYi Zen Hei"/>
        <family val="2"/>
      </rPr>
      <t xml:space="preserve">）。</t>
    </r>
  </si>
  <si>
    <r>
      <rPr>
        <sz val="10"/>
        <rFont val="Yu Gothic"/>
        <family val="0"/>
        <charset val="1"/>
      </rPr>
      <t xml:space="preserve">4. </t>
    </r>
    <r>
      <rPr>
        <sz val="10"/>
        <rFont val="WenQuanYi Zen Hei"/>
        <family val="2"/>
      </rPr>
      <t xml:space="preserve">同じ事象が複数の行に出るのは正しい（コモン事象。この方式なら二重掛けの過小評価が起きない）。</t>
    </r>
  </si>
  <si>
    <r>
      <rPr>
        <sz val="10"/>
        <rFont val="Yu Gothic"/>
        <family val="0"/>
        <charset val="1"/>
      </rPr>
      <t xml:space="preserve">5. </t>
    </r>
    <r>
      <rPr>
        <sz val="10"/>
        <rFont val="WenQuanYi Zen Hei"/>
        <family val="2"/>
      </rPr>
      <t xml:space="preserve">各行は「起因事象（</t>
    </r>
    <r>
      <rPr>
        <sz val="10"/>
        <rFont val="Yu Gothic"/>
        <family val="0"/>
        <charset val="1"/>
      </rPr>
      <t xml:space="preserve">λ</t>
    </r>
    <r>
      <rPr>
        <sz val="10"/>
        <rFont val="WenQuanYi Zen Hei"/>
        <family val="2"/>
      </rPr>
      <t xml:space="preserve">、</t>
    </r>
    <r>
      <rPr>
        <sz val="10"/>
        <rFont val="Yu Gothic"/>
        <family val="0"/>
        <charset val="1"/>
      </rPr>
      <t xml:space="preserve">/hr</t>
    </r>
    <r>
      <rPr>
        <sz val="10"/>
        <rFont val="WenQuanYi Zen Hei"/>
        <family val="2"/>
      </rPr>
      <t xml:space="preserve">）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つ＋デマンド事象（</t>
    </r>
    <r>
      <rPr>
        <sz val="10"/>
        <rFont val="Yu Gothic"/>
        <family val="0"/>
        <charset val="1"/>
      </rPr>
      <t xml:space="preserve">PFD</t>
    </r>
    <r>
      <rPr>
        <sz val="10"/>
        <rFont val="WenQuanYi Zen Hei"/>
        <family val="2"/>
      </rPr>
      <t xml:space="preserve">）」の形になる。行の確率</t>
    </r>
    <r>
      <rPr>
        <sz val="10"/>
        <rFont val="Yu Gothic"/>
        <family val="0"/>
        <charset val="1"/>
      </rPr>
      <t xml:space="preserve">(/hr)</t>
    </r>
    <r>
      <rPr>
        <sz val="10"/>
        <rFont val="WenQuanYi Zen Hei"/>
        <family val="2"/>
      </rPr>
      <t xml:space="preserve">＝</t>
    </r>
    <r>
      <rPr>
        <sz val="10"/>
        <rFont val="Yu Gothic"/>
        <family val="0"/>
        <charset val="1"/>
      </rPr>
      <t xml:space="preserve">λ×PFD</t>
    </r>
    <r>
      <rPr>
        <sz val="10"/>
        <rFont val="WenQuanYi Zen Hei"/>
        <family val="2"/>
      </rPr>
      <t xml:space="preserve">の積。</t>
    </r>
  </si>
  <si>
    <r>
      <rPr>
        <b val="true"/>
        <sz val="11"/>
        <rFont val="WenQuanYi Zen Hei"/>
        <family val="2"/>
      </rPr>
      <t xml:space="preserve">例題（</t>
    </r>
    <r>
      <rPr>
        <b val="true"/>
        <sz val="11"/>
        <rFont val="Yu Gothic"/>
        <family val="0"/>
        <charset val="1"/>
      </rPr>
      <t xml:space="preserve">V-1204</t>
    </r>
    <r>
      <rPr>
        <b val="true"/>
        <sz val="11"/>
        <rFont val="WenQuanYi Zen Hei"/>
        <family val="2"/>
      </rPr>
      <t xml:space="preserve">）の</t>
    </r>
    <r>
      <rPr>
        <b val="true"/>
        <sz val="11"/>
        <rFont val="Yu Gothic"/>
        <family val="0"/>
        <charset val="1"/>
      </rPr>
      <t xml:space="preserve">FT</t>
    </r>
    <r>
      <rPr>
        <b val="true"/>
        <sz val="11"/>
        <rFont val="WenQuanYi Zen Hei"/>
        <family val="2"/>
      </rPr>
      <t xml:space="preserve">構造――ゲートはノードごとにこう決まっている</t>
    </r>
  </si>
  <si>
    <r>
      <rPr>
        <sz val="10"/>
        <rFont val="Yu Gothic"/>
        <family val="0"/>
        <charset val="1"/>
      </rPr>
      <t xml:space="preserve">1. </t>
    </r>
    <r>
      <rPr>
        <sz val="10"/>
        <rFont val="WenQuanYi Zen Hei"/>
        <family val="2"/>
      </rPr>
      <t xml:space="preserve">最終事象「</t>
    </r>
    <r>
      <rPr>
        <sz val="10"/>
        <rFont val="Yu Gothic"/>
        <family val="0"/>
        <charset val="1"/>
      </rPr>
      <t xml:space="preserve">EO</t>
    </r>
    <r>
      <rPr>
        <sz val="10"/>
        <rFont val="WenQuanYi Zen Hei"/>
        <family val="2"/>
      </rPr>
      <t xml:space="preserve">反応器まで水巻き上げ触媒失活」 ＝ 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2 </t>
    </r>
    <r>
      <rPr>
        <sz val="10"/>
        <rFont val="WenQuanYi Zen Hei"/>
        <family val="2"/>
      </rPr>
      <t xml:space="preserve">と </t>
    </r>
    <r>
      <rPr>
        <sz val="10"/>
        <rFont val="Yu Gothic"/>
        <family val="0"/>
        <charset val="1"/>
      </rPr>
      <t xml:space="preserve">5</t>
    </r>
    <r>
      <rPr>
        <sz val="10"/>
        <rFont val="WenQuanYi Zen Hei"/>
        <family val="2"/>
      </rPr>
      <t xml:space="preserve">）</t>
    </r>
  </si>
  <si>
    <r>
      <rPr>
        <sz val="10"/>
        <rFont val="Yu Gothic"/>
        <family val="0"/>
        <charset val="1"/>
      </rPr>
      <t xml:space="preserve">2. </t>
    </r>
    <r>
      <rPr>
        <sz val="10"/>
        <rFont val="WenQuanYi Zen Hei"/>
        <family val="2"/>
      </rPr>
      <t xml:space="preserve">さらにレベルがあがる ＝ 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3 </t>
    </r>
    <r>
      <rPr>
        <sz val="10"/>
        <rFont val="WenQuanYi Zen Hei"/>
        <family val="2"/>
      </rPr>
      <t xml:space="preserve">と 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）</t>
    </r>
  </si>
  <si>
    <r>
      <rPr>
        <sz val="10"/>
        <rFont val="Yu Gothic"/>
        <family val="0"/>
        <charset val="1"/>
      </rPr>
      <t xml:space="preserve">3. V-1204</t>
    </r>
    <r>
      <rPr>
        <sz val="10"/>
        <rFont val="WenQuanYi Zen Hei"/>
        <family val="2"/>
      </rPr>
      <t xml:space="preserve">レベル上昇（起因</t>
    </r>
    <r>
      <rPr>
        <sz val="10"/>
        <rFont val="Yu Gothic"/>
        <family val="0"/>
        <charset val="1"/>
      </rPr>
      <t xml:space="preserve">: FC12</t>
    </r>
    <r>
      <rPr>
        <sz val="10"/>
        <rFont val="WenQuanYi Zen Hei"/>
        <family val="2"/>
      </rPr>
      <t xml:space="preserve">開度過少） ＝ 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（流量計故障、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故障、空気調整弁故障）</t>
    </r>
  </si>
  <si>
    <r>
      <rPr>
        <sz val="10"/>
        <rFont val="Yu Gothic"/>
        <family val="0"/>
        <charset val="1"/>
      </rPr>
      <t xml:space="preserve">4. LK</t>
    </r>
    <r>
      <rPr>
        <sz val="10"/>
        <rFont val="WenQuanYi Zen Hei"/>
        <family val="2"/>
      </rPr>
      <t xml:space="preserve">＋運転員の回復失敗 ＝ 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（液面計故障、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故障、アラーム故障、アラームに気づかない、対処失敗</t>
    </r>
    <r>
      <rPr>
        <sz val="10"/>
        <rFont val="Yu Gothic"/>
        <family val="0"/>
        <charset val="1"/>
      </rPr>
      <t xml:space="preserve">(10</t>
    </r>
    <r>
      <rPr>
        <sz val="10"/>
        <rFont val="WenQuanYi Zen Hei"/>
        <family val="2"/>
      </rPr>
      <t xml:space="preserve">分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</si>
  <si>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r>
      <rPr>
        <sz val="10"/>
        <rFont val="Yu Gothic"/>
        <family val="0"/>
        <charset val="1"/>
      </rPr>
      <t xml:space="preserve">5. OSS</t>
    </r>
    <r>
      <rPr>
        <sz val="10"/>
        <rFont val="WenQuanYi Zen Hei"/>
        <family val="2"/>
      </rPr>
      <t xml:space="preserve">不作動 ＝ 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（圧力計故障、リレー回路故障、空気調整弁故障）</t>
    </r>
  </si>
  <si>
    <r>
      <rPr>
        <sz val="9"/>
        <color rgb="FF595959"/>
        <rFont val="Yu Gothic"/>
        <family val="0"/>
        <charset val="1"/>
      </rPr>
      <t xml:space="preserve">AND</t>
    </r>
    <r>
      <rPr>
        <sz val="9"/>
        <color rgb="FF595959"/>
        <rFont val="WenQuanYi Zen Hei"/>
        <family val="2"/>
      </rPr>
      <t xml:space="preserve">の入れ子（</t>
    </r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と</t>
    </r>
    <r>
      <rPr>
        <sz val="9"/>
        <color rgb="FF595959"/>
        <rFont val="Yu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）は掛ける順番が変わるだけ（結合則）。</t>
    </r>
    <r>
      <rPr>
        <sz val="9"/>
        <color rgb="FF595959"/>
        <rFont val="Yu Gothic"/>
        <family val="0"/>
        <charset val="1"/>
      </rPr>
      <t xml:space="preserve">OR</t>
    </r>
    <r>
      <rPr>
        <sz val="9"/>
        <color rgb="FF595959"/>
        <rFont val="WenQuanYi Zen Hei"/>
        <family val="2"/>
      </rPr>
      <t xml:space="preserve">の中身が行の分岐になる。この構造を展開すると </t>
    </r>
    <r>
      <rPr>
        <sz val="9"/>
        <color rgb="FF595959"/>
        <rFont val="Yu Gothic"/>
        <family val="0"/>
        <charset val="1"/>
      </rPr>
      <t xml:space="preserve">3×5×3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Yu Gothic"/>
        <family val="0"/>
        <charset val="1"/>
      </rPr>
      <t xml:space="preserve">45</t>
    </r>
    <r>
      <rPr>
        <sz val="9"/>
        <color rgb="FF595959"/>
        <rFont val="WenQuanYi Zen Hei"/>
        <family val="2"/>
      </rPr>
      <t xml:space="preserve">行のカットセットになる（下の表）。</t>
    </r>
  </si>
  <si>
    <r>
      <rPr>
        <b val="true"/>
        <sz val="11"/>
        <rFont val="WenQuanYi Zen Hei"/>
        <family val="2"/>
      </rPr>
      <t xml:space="preserve">カットセット表（下の</t>
    </r>
    <r>
      <rPr>
        <b val="true"/>
        <sz val="11"/>
        <rFont val="Yu Gothic"/>
        <family val="0"/>
        <charset val="1"/>
      </rPr>
      <t xml:space="preserve">45</t>
    </r>
    <r>
      <rPr>
        <b val="true"/>
        <sz val="11"/>
        <rFont val="WenQuanYi Zen Hei"/>
        <family val="2"/>
      </rPr>
      <t xml:space="preserve">行は例題の展開＝そのまま計算に使われている。黄色の行に自分のシナリオを追記）</t>
    </r>
  </si>
  <si>
    <t xml:space="preserve">No</t>
  </si>
  <si>
    <r>
      <rPr>
        <b val="true"/>
        <sz val="10"/>
        <rFont val="WenQuanYi Zen Hei"/>
        <family val="2"/>
      </rPr>
      <t xml:space="preserve">起因事象（</t>
    </r>
    <r>
      <rPr>
        <b val="true"/>
        <sz val="10"/>
        <rFont val="Yu Gothic"/>
        <family val="0"/>
        <charset val="1"/>
      </rPr>
      <t xml:space="preserve">λ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</si>
  <si>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デマンド事象</t>
    </r>
    <r>
      <rPr>
        <b val="true"/>
        <sz val="10"/>
        <rFont val="Yu Gothic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</si>
  <si>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デマンド事象</t>
    </r>
    <r>
      <rPr>
        <b val="true"/>
        <sz val="10"/>
        <rFont val="Yu Gothic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</si>
  <si>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デマンド事象</t>
    </r>
    <r>
      <rPr>
        <b val="true"/>
        <sz val="10"/>
        <rFont val="Yu Gothic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</si>
  <si>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デマンド事象</t>
    </r>
    <r>
      <rPr>
        <b val="true"/>
        <sz val="10"/>
        <rFont val="Yu Gothic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</si>
  <si>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デマンド事象</t>
    </r>
    <r>
      <rPr>
        <b val="true"/>
        <sz val="10"/>
        <rFont val="Yu Gothic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</si>
  <si>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行の確率</t>
    </r>
    <r>
      <rPr>
        <b val="true"/>
        <sz val="10"/>
        <rFont val="Yu Gothic"/>
        <family val="0"/>
        <charset val="1"/>
      </rPr>
      <t xml:space="preserve">(/hr)</t>
    </r>
  </si>
  <si>
    <t xml:space="preserve">例題の展開</t>
  </si>
  <si>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Yu Gothic"/>
        <family val="0"/>
        <charset val="1"/>
      </rPr>
      <t xml:space="preserve">/hr</t>
    </r>
    <r>
      <rPr>
        <b val="true"/>
        <sz val="10"/>
        <rFont val="WenQuanYi Zen Hei"/>
        <family val="2"/>
      </rPr>
      <t xml:space="preserve">）＝</t>
    </r>
    <r>
      <rPr>
        <b val="true"/>
        <sz val="10"/>
        <rFont val="Yu Gothic"/>
        <family val="0"/>
        <charset val="1"/>
      </rPr>
      <t xml:space="preserve">OR</t>
    </r>
    <r>
      <rPr>
        <b val="true"/>
        <sz val="10"/>
        <rFont val="WenQuanYi Zen Hei"/>
        <family val="2"/>
      </rPr>
      <t xml:space="preserve">＝和</t>
    </r>
  </si>
  <si>
    <r>
      <rPr>
        <sz val="10"/>
        <rFont val="WenQuanYi Zen Hei"/>
        <family val="2"/>
      </rPr>
      <t xml:space="preserve">合計（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年）</t>
    </r>
  </si>
  <si>
    <r>
      <rPr>
        <sz val="10"/>
        <rFont val="WenQuanYi Zen Hei"/>
        <family val="2"/>
      </rPr>
      <t xml:space="preserve">シナリオ計算シートの結果（</t>
    </r>
    <r>
      <rPr>
        <sz val="10"/>
        <rFont val="Yu Gothic"/>
        <family val="0"/>
        <charset val="1"/>
      </rPr>
      <t xml:space="preserve">/hr</t>
    </r>
    <r>
      <rPr>
        <sz val="10"/>
        <rFont val="WenQuanYi Zen Hei"/>
        <family val="2"/>
      </rPr>
      <t xml:space="preserve">）との比</t>
    </r>
  </si>
  <si>
    <r>
      <rPr>
        <sz val="9"/>
        <color rgb="FF595959"/>
        <rFont val="Yu Gothic"/>
        <family val="0"/>
        <charset val="1"/>
      </rPr>
      <t xml:space="preserve">1.000</t>
    </r>
    <r>
      <rPr>
        <sz val="9"/>
        <color rgb="FF595959"/>
        <rFont val="WenQuanYi Zen Hei"/>
        <family val="2"/>
      </rPr>
      <t xml:space="preserve">＝チェーン型（和の積）とカットセット（積の和）が同じ計算であることの確認。</t>
    </r>
  </si>
  <si>
    <r>
      <rPr>
        <sz val="9"/>
        <color rgb="FF595959"/>
        <rFont val="WenQuanYi Zen Hei"/>
        <family val="2"/>
      </rPr>
      <t xml:space="preserve">（注</t>
    </r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）この例では</t>
    </r>
    <r>
      <rPr>
        <sz val="9"/>
        <color rgb="FF595959"/>
        <rFont val="Yu Gothic"/>
        <family val="0"/>
        <charset val="1"/>
      </rPr>
      <t xml:space="preserve">DCS</t>
    </r>
    <r>
      <rPr>
        <sz val="9"/>
        <color rgb="FF595959"/>
        <rFont val="WenQuanYi Zen Hei"/>
        <family val="2"/>
      </rPr>
      <t xml:space="preserve">が起因と防護の両方に出る行があり、簡約ルール</t>
    </r>
    <r>
      <rPr>
        <sz val="9"/>
        <color rgb="FF595959"/>
        <rFont val="Yu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Yu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の対象になるが、</t>
    </r>
    <r>
      <rPr>
        <sz val="9"/>
        <color rgb="FF595959"/>
        <rFont val="Yu Gothic"/>
        <family val="0"/>
        <charset val="1"/>
      </rPr>
      <t xml:space="preserve">DCS</t>
    </r>
    <r>
      <rPr>
        <sz val="9"/>
        <color rgb="FF595959"/>
        <rFont val="WenQuanYi Zen Hei"/>
        <family val="2"/>
      </rPr>
      <t xml:space="preserve">の</t>
    </r>
    <r>
      <rPr>
        <sz val="9"/>
        <color rgb="FF595959"/>
        <rFont val="Yu Gothic"/>
        <family val="0"/>
        <charset val="1"/>
      </rPr>
      <t xml:space="preserve">λ</t>
    </r>
    <r>
      <rPr>
        <sz val="9"/>
        <color rgb="FF595959"/>
        <rFont val="WenQuanYi Zen Hei"/>
        <family val="2"/>
      </rPr>
      <t xml:space="preserve">が</t>
    </r>
    <r>
      <rPr>
        <sz val="9"/>
        <color rgb="FF595959"/>
        <rFont val="Yu Gothic"/>
        <family val="0"/>
        <charset val="1"/>
      </rPr>
      <t xml:space="preserve">5.3E-10/hr</t>
    </r>
    <r>
      <rPr>
        <sz val="9"/>
        <color rgb="FF595959"/>
        <rFont val="WenQuanYi Zen Hei"/>
        <family val="2"/>
      </rPr>
      <t xml:space="preserve">と極小のため合計への影響は</t>
    </r>
    <r>
      <rPr>
        <sz val="9"/>
        <color rgb="FF595959"/>
        <rFont val="Yu Gothic"/>
        <family val="0"/>
        <charset val="1"/>
      </rPr>
      <t xml:space="preserve">1E-11</t>
    </r>
    <r>
      <rPr>
        <sz val="9"/>
        <color rgb="FF595959"/>
        <rFont val="WenQuanYi Zen Hei"/>
        <family val="2"/>
      </rPr>
      <t xml:space="preserve">未満。学習用にそのまま展開している。</t>
    </r>
  </si>
  <si>
    <r>
      <rPr>
        <sz val="9"/>
        <color rgb="FF595959"/>
        <rFont val="WenQuanYi Zen Hei"/>
        <family val="2"/>
      </rPr>
      <t xml:space="preserve">（注</t>
    </r>
    <r>
      <rPr>
        <sz val="9"/>
        <color rgb="FF595959"/>
        <rFont val="Yu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Yu Gothic"/>
        <family val="0"/>
        <charset val="1"/>
      </rPr>
      <t xml:space="preserve">PHA_Organizer</t>
    </r>
    <r>
      <rPr>
        <sz val="9"/>
        <color rgb="FF595959"/>
        <rFont val="WenQuanYi Zen Hei"/>
        <family val="2"/>
      </rPr>
      <t xml:space="preserve">保存値（</t>
    </r>
    <r>
      <rPr>
        <sz val="9"/>
        <color rgb="FF595959"/>
        <rFont val="Yu Gothic"/>
        <family val="0"/>
        <charset val="1"/>
      </rPr>
      <t xml:space="preserve">5.25E-6/hr</t>
    </r>
    <r>
      <rPr>
        <sz val="9"/>
        <color rgb="FF595959"/>
        <rFont val="WenQuanYi Zen Hei"/>
        <family val="2"/>
      </rPr>
      <t xml:space="preserve">）との差約</t>
    </r>
    <r>
      <rPr>
        <sz val="9"/>
        <color rgb="FF595959"/>
        <rFont val="Yu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割は、</t>
    </r>
    <r>
      <rPr>
        <sz val="9"/>
        <color rgb="FF595959"/>
        <rFont val="Yu Gothic"/>
        <family val="0"/>
        <charset val="1"/>
      </rPr>
      <t xml:space="preserve">PDK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Yu Gothic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経由の分岐経路のカットセットがこの表に入っていないぶん。経路を行として追加していけば埋まる。</t>
    </r>
  </si>
  <si>
    <r>
      <rPr>
        <b val="true"/>
        <sz val="14"/>
        <rFont val="WenQuanYi Zen Hei"/>
        <family val="2"/>
      </rPr>
      <t xml:space="preserve">例題</t>
    </r>
    <r>
      <rPr>
        <b val="true"/>
        <sz val="14"/>
        <rFont val="Yu Gothic"/>
        <family val="0"/>
        <charset val="1"/>
      </rPr>
      <t xml:space="preserve">: FC12</t>
    </r>
    <r>
      <rPr>
        <b val="true"/>
        <sz val="14"/>
        <rFont val="WenQuanYi Zen Hei"/>
        <family val="2"/>
      </rPr>
      <t xml:space="preserve">開度過少による</t>
    </r>
    <r>
      <rPr>
        <b val="true"/>
        <sz val="14"/>
        <rFont val="Yu Gothic"/>
        <family val="0"/>
        <charset val="1"/>
      </rPr>
      <t xml:space="preserve">V-1204</t>
    </r>
    <r>
      <rPr>
        <b val="true"/>
        <sz val="14"/>
        <rFont val="WenQuanYi Zen Hei"/>
        <family val="2"/>
      </rPr>
      <t xml:space="preserve">レベル上昇（アップロードされた</t>
    </r>
    <r>
      <rPr>
        <b val="true"/>
        <sz val="14"/>
        <rFont val="Yu Gothic"/>
        <family val="0"/>
        <charset val="1"/>
      </rPr>
      <t xml:space="preserve">project.pha</t>
    </r>
    <r>
      <rPr>
        <b val="true"/>
        <sz val="14"/>
        <rFont val="WenQuanYi Zen Hei"/>
        <family val="2"/>
      </rPr>
      <t xml:space="preserve">の再現）</t>
    </r>
  </si>
  <si>
    <r>
      <rPr>
        <b val="true"/>
        <sz val="11"/>
        <rFont val="WenQuanYi Zen Hei"/>
        <family val="2"/>
      </rPr>
      <t xml:space="preserve">シナリオ（</t>
    </r>
    <r>
      <rPr>
        <b val="true"/>
        <sz val="11"/>
        <rFont val="Yu Gothic"/>
        <family val="0"/>
        <charset val="1"/>
      </rPr>
      <t xml:space="preserve">What-if</t>
    </r>
    <r>
      <rPr>
        <b val="true"/>
        <sz val="11"/>
        <rFont val="WenQuanYi Zen Hei"/>
        <family val="2"/>
      </rPr>
      <t xml:space="preserve">）の流れ</t>
    </r>
  </si>
  <si>
    <r>
      <rPr>
        <sz val="10"/>
        <rFont val="Yu Gothic"/>
        <family val="0"/>
        <charset val="1"/>
      </rPr>
      <t xml:space="preserve">1. </t>
    </r>
    <r>
      <rPr>
        <sz val="10"/>
        <rFont val="WenQuanYi Zen Hei"/>
        <family val="2"/>
      </rPr>
      <t xml:space="preserve">起因事象</t>
    </r>
    <r>
      <rPr>
        <sz val="10"/>
        <rFont val="Yu Gothic"/>
        <family val="0"/>
        <charset val="1"/>
      </rPr>
      <t xml:space="preserve">: FC12 </t>
    </r>
    <r>
      <rPr>
        <sz val="10"/>
        <rFont val="WenQuanYi Zen Hei"/>
        <family val="2"/>
      </rPr>
      <t xml:space="preserve">開度過少（制御ループ故障）</t>
    </r>
  </si>
  <si>
    <r>
      <rPr>
        <sz val="10"/>
        <rFont val="Yu Gothic"/>
        <family val="0"/>
        <charset val="1"/>
      </rPr>
      <t xml:space="preserve">2. </t>
    </r>
    <r>
      <rPr>
        <sz val="10"/>
        <rFont val="WenQuanYi Zen Hei"/>
        <family val="2"/>
      </rPr>
      <t xml:space="preserve">フォーミングが進行して</t>
    </r>
    <r>
      <rPr>
        <sz val="10"/>
        <rFont val="Yu Gothic"/>
        <family val="0"/>
        <charset val="1"/>
      </rPr>
      <t xml:space="preserve">V-1204</t>
    </r>
    <r>
      <rPr>
        <sz val="10"/>
        <rFont val="WenQuanYi Zen Hei"/>
        <family val="2"/>
      </rPr>
      <t xml:space="preserve">のレベルが上がる</t>
    </r>
  </si>
  <si>
    <r>
      <rPr>
        <sz val="10"/>
        <rFont val="Yu Gothic"/>
        <family val="0"/>
        <charset val="1"/>
      </rPr>
      <t xml:space="preserve">3. LK</t>
    </r>
    <r>
      <rPr>
        <sz val="10"/>
        <rFont val="WenQuanYi Zen Hei"/>
        <family val="2"/>
      </rPr>
      <t xml:space="preserve">液面検出システムで検知し、運転員が回復動作（時間余裕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分）</t>
    </r>
  </si>
  <si>
    <r>
      <rPr>
        <sz val="10"/>
        <rFont val="Yu Gothic"/>
        <family val="0"/>
        <charset val="1"/>
      </rPr>
      <t xml:space="preserve">4. </t>
    </r>
    <r>
      <rPr>
        <sz val="10"/>
        <rFont val="WenQuanYi Zen Hei"/>
        <family val="2"/>
      </rPr>
      <t xml:space="preserve">回復動作に失敗すると、さらにレベルが上がる</t>
    </r>
  </si>
  <si>
    <r>
      <rPr>
        <sz val="10"/>
        <rFont val="Yu Gothic"/>
        <family val="0"/>
        <charset val="1"/>
      </rPr>
      <t xml:space="preserve">5. OSS</t>
    </r>
    <r>
      <rPr>
        <sz val="10"/>
        <rFont val="WenQuanYi Zen Hei"/>
        <family val="2"/>
      </rPr>
      <t xml:space="preserve">が作動して自動停止する</t>
    </r>
  </si>
  <si>
    <r>
      <rPr>
        <sz val="10"/>
        <rFont val="Yu Gothic"/>
        <family val="0"/>
        <charset val="1"/>
      </rPr>
      <t xml:space="preserve">6. OSS</t>
    </r>
    <r>
      <rPr>
        <sz val="10"/>
        <rFont val="WenQuanYi Zen Hei"/>
        <family val="2"/>
      </rPr>
      <t xml:space="preserve">が不作動なら、最終事象「</t>
    </r>
    <r>
      <rPr>
        <sz val="10"/>
        <rFont val="Yu Gothic"/>
        <family val="0"/>
        <charset val="1"/>
      </rPr>
      <t xml:space="preserve">EO</t>
    </r>
    <r>
      <rPr>
        <sz val="10"/>
        <rFont val="WenQuanYi Zen Hei"/>
        <family val="2"/>
      </rPr>
      <t xml:space="preserve">反応器まで水を巻き上げて触媒失活」に至る</t>
    </r>
  </si>
  <si>
    <r>
      <rPr>
        <b val="true"/>
        <sz val="11"/>
        <rFont val="WenQuanYi Zen Hei"/>
        <family val="2"/>
      </rPr>
      <t xml:space="preserve">計算の再現（式が入っています。確率</t>
    </r>
    <r>
      <rPr>
        <b val="true"/>
        <sz val="11"/>
        <rFont val="Yu Gothic"/>
        <family val="0"/>
        <charset val="1"/>
      </rPr>
      <t xml:space="preserve">DB</t>
    </r>
    <r>
      <rPr>
        <b val="true"/>
        <sz val="11"/>
        <rFont val="WenQuanYi Zen Hei"/>
        <family val="2"/>
      </rPr>
      <t xml:space="preserve">を参照）</t>
    </r>
  </si>
  <si>
    <t xml:space="preserve">項目</t>
  </si>
  <si>
    <t xml:space="preserve">構成要素</t>
  </si>
  <si>
    <t xml:space="preserve">値</t>
  </si>
  <si>
    <t xml:space="preserve">単位</t>
  </si>
  <si>
    <r>
      <rPr>
        <sz val="10"/>
        <rFont val="WenQuanYi Zen Hei"/>
        <family val="2"/>
      </rPr>
      <t xml:space="preserve">起因事象（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</si>
  <si>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Yu Gothic"/>
        <family val="0"/>
        <charset val="1"/>
      </rPr>
      <t xml:space="preserve">FC12</t>
    </r>
    <r>
      <rPr>
        <sz val="9"/>
        <color rgb="FF595959"/>
        <rFont val="WenQuanYi Zen Hei"/>
        <family val="2"/>
      </rPr>
      <t xml:space="preserve">ループの検出器</t>
    </r>
  </si>
  <si>
    <r>
      <rPr>
        <sz val="9"/>
        <color rgb="FF595959"/>
        <rFont val="Yu Gothic"/>
        <family val="0"/>
        <charset val="1"/>
      </rPr>
      <t xml:space="preserve">FC12</t>
    </r>
    <r>
      <rPr>
        <sz val="9"/>
        <color rgb="FF595959"/>
        <rFont val="WenQuanYi Zen Hei"/>
        <family val="2"/>
      </rPr>
      <t xml:space="preserve">ループの操作端</t>
    </r>
  </si>
  <si>
    <r>
      <rPr>
        <sz val="10"/>
        <rFont val="WenQuanYi Zen Hei"/>
        <family val="2"/>
      </rPr>
      <t xml:space="preserve">防護層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）</t>
    </r>
  </si>
  <si>
    <t xml:space="preserve">/d</t>
  </si>
  <si>
    <r>
      <rPr>
        <sz val="9"/>
        <color rgb="FF595959"/>
        <rFont val="Yu Gothic"/>
        <family val="0"/>
        <charset val="1"/>
      </rPr>
      <t xml:space="preserve">LK</t>
    </r>
    <r>
      <rPr>
        <sz val="9"/>
        <color rgb="FF595959"/>
        <rFont val="WenQuanYi Zen Hei"/>
        <family val="2"/>
      </rPr>
      <t xml:space="preserve">液面検出</t>
    </r>
  </si>
  <si>
    <r>
      <rPr>
        <sz val="10"/>
        <rFont val="WenQuanYi Zen Hei"/>
        <family val="2"/>
      </rPr>
      <t xml:space="preserve">防護層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</si>
  <si>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Yu Gothic"/>
        <family val="0"/>
        <charset val="1"/>
      </rPr>
      <t xml:space="preserve">OSS</t>
    </r>
    <r>
      <rPr>
        <sz val="9"/>
        <color rgb="FF595959"/>
        <rFont val="WenQuanYi Zen Hei"/>
        <family val="2"/>
      </rPr>
      <t xml:space="preserve">の検出（</t>
    </r>
    <r>
      <rPr>
        <sz val="9"/>
        <color rgb="FF595959"/>
        <rFont val="Yu Gothic"/>
        <family val="0"/>
        <charset val="1"/>
      </rPr>
      <t xml:space="preserve">PDK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</si>
  <si>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Yu Gothic"/>
        <family val="0"/>
        <charset val="1"/>
      </rPr>
      <t xml:space="preserve">OSS</t>
    </r>
    <r>
      <rPr>
        <sz val="9"/>
        <color rgb="FF595959"/>
        <rFont val="WenQuanYi Zen Hei"/>
        <family val="2"/>
      </rPr>
      <t xml:space="preserve">のロジック</t>
    </r>
  </si>
  <si>
    <r>
      <rPr>
        <sz val="9"/>
        <color rgb="FF595959"/>
        <rFont val="Yu Gothic"/>
        <family val="0"/>
        <charset val="1"/>
      </rPr>
      <t xml:space="preserve">OSS</t>
    </r>
    <r>
      <rPr>
        <sz val="9"/>
        <color rgb="FF595959"/>
        <rFont val="WenQuanYi Zen Hei"/>
        <family val="2"/>
      </rPr>
      <t xml:space="preserve">の操作端</t>
    </r>
  </si>
  <si>
    <r>
      <rPr>
        <b val="true"/>
        <sz val="10"/>
        <rFont val="WenQuanYi Zen Hei"/>
        <family val="2"/>
      </rPr>
      <t xml:space="preserve">起因事象頻度 </t>
    </r>
    <r>
      <rPr>
        <b val="true"/>
        <sz val="10"/>
        <rFont val="Yu Gothic"/>
        <family val="0"/>
        <charset val="1"/>
      </rPr>
      <t xml:space="preserve">F0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Yu Gothic"/>
        <family val="0"/>
        <charset val="1"/>
      </rPr>
      <t xml:space="preserve">λ</t>
    </r>
    <r>
      <rPr>
        <b val="true"/>
        <sz val="10"/>
        <rFont val="WenQuanYi Zen Hei"/>
        <family val="2"/>
      </rPr>
      <t xml:space="preserve">合計 </t>
    </r>
    <r>
      <rPr>
        <b val="true"/>
        <sz val="10"/>
        <rFont val="Yu Gothic"/>
        <family val="0"/>
        <charset val="1"/>
      </rPr>
      <t xml:space="preserve">× 8760</t>
    </r>
  </si>
  <si>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年</t>
    </r>
  </si>
  <si>
    <r>
      <rPr>
        <b val="true"/>
        <sz val="10"/>
        <rFont val="WenQuanYi Zen Hei"/>
        <family val="2"/>
      </rPr>
      <t xml:space="preserve">防護層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の</t>
    </r>
    <r>
      <rPr>
        <b val="true"/>
        <sz val="10"/>
        <rFont val="Yu Gothic"/>
        <family val="0"/>
        <charset val="1"/>
      </rPr>
      <t xml:space="preserve">PFD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Yu Gothic"/>
        <family val="0"/>
        <charset val="1"/>
      </rPr>
      <t xml:space="preserve">OR</t>
    </r>
    <r>
      <rPr>
        <b val="true"/>
        <sz val="10"/>
        <rFont val="WenQuanYi Zen Hei"/>
        <family val="2"/>
      </rPr>
      <t xml:space="preserve">＝要素の和）</t>
    </r>
  </si>
  <si>
    <r>
      <rPr>
        <b val="true"/>
        <sz val="10"/>
        <rFont val="WenQuanYi Zen Hei"/>
        <family val="2"/>
      </rPr>
      <t xml:space="preserve">防護層</t>
    </r>
    <r>
      <rPr>
        <b val="true"/>
        <sz val="10"/>
        <rFont val="Yu Gothic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の</t>
    </r>
    <r>
      <rPr>
        <b val="true"/>
        <sz val="10"/>
        <rFont val="Yu Gothic"/>
        <family val="0"/>
        <charset val="1"/>
      </rPr>
      <t xml:space="preserve">PFD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Yu Gothic"/>
        <family val="0"/>
        <charset val="1"/>
      </rPr>
      <t xml:space="preserve">OR</t>
    </r>
    <r>
      <rPr>
        <b val="true"/>
        <sz val="10"/>
        <rFont val="WenQuanYi Zen Hei"/>
        <family val="2"/>
      </rPr>
      <t xml:space="preserve">＝要素の和）</t>
    </r>
  </si>
  <si>
    <r>
      <rPr>
        <b val="true"/>
        <sz val="10"/>
        <rFont val="WenQuanYi Zen Hei"/>
        <family val="2"/>
      </rPr>
      <t xml:space="preserve">最終事象頻度 </t>
    </r>
    <r>
      <rPr>
        <b val="true"/>
        <sz val="10"/>
        <rFont val="Yu Gothic"/>
        <family val="0"/>
        <charset val="1"/>
      </rPr>
      <t xml:space="preserve">F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Yu Gothic"/>
        <family val="0"/>
        <charset val="1"/>
      </rPr>
      <t xml:space="preserve">F0 × </t>
    </r>
    <r>
      <rPr>
        <b val="true"/>
        <sz val="10"/>
        <rFont val="WenQuanYi Zen Hei"/>
        <family val="2"/>
      </rPr>
      <t xml:space="preserve">層</t>
    </r>
    <r>
      <rPr>
        <b val="true"/>
        <sz val="10"/>
        <rFont val="Yu Gothic"/>
        <family val="0"/>
        <charset val="1"/>
      </rPr>
      <t xml:space="preserve">1PFD × </t>
    </r>
    <r>
      <rPr>
        <b val="true"/>
        <sz val="10"/>
        <rFont val="WenQuanYi Zen Hei"/>
        <family val="2"/>
      </rPr>
      <t xml:space="preserve">層</t>
    </r>
    <r>
      <rPr>
        <b val="true"/>
        <sz val="10"/>
        <rFont val="Yu Gothic"/>
        <family val="0"/>
        <charset val="1"/>
      </rPr>
      <t xml:space="preserve">2PFD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Yu Gothic"/>
        <family val="0"/>
        <charset val="1"/>
      </rPr>
      <t xml:space="preserve">AND</t>
    </r>
    <r>
      <rPr>
        <b val="true"/>
        <sz val="10"/>
        <rFont val="WenQuanYi Zen Hei"/>
        <family val="2"/>
      </rPr>
      <t xml:space="preserve">＝積）</t>
    </r>
  </si>
  <si>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/hr</t>
    </r>
    <r>
      <rPr>
        <sz val="10"/>
        <rFont val="WenQuanYi Zen Hei"/>
        <family val="2"/>
      </rPr>
      <t xml:space="preserve">換算）</t>
    </r>
  </si>
  <si>
    <r>
      <rPr>
        <b val="true"/>
        <sz val="11"/>
        <rFont val="Yu Gothic"/>
        <family val="0"/>
        <charset val="1"/>
      </rPr>
      <t xml:space="preserve">PHA_Organizer</t>
    </r>
    <r>
      <rPr>
        <b val="true"/>
        <sz val="11"/>
        <rFont val="WenQuanYi Zen Hei"/>
        <family val="2"/>
      </rPr>
      <t xml:space="preserve">の計算値との比較――「近似」の正体</t>
    </r>
  </si>
  <si>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保存値（</t>
    </r>
    <r>
      <rPr>
        <sz val="10"/>
        <rFont val="Yu Gothic"/>
        <family val="0"/>
        <charset val="1"/>
      </rPr>
      <t xml:space="preserve">project.pha</t>
    </r>
    <r>
      <rPr>
        <sz val="10"/>
        <rFont val="WenQuanYi Zen Hei"/>
        <family val="2"/>
      </rPr>
      <t xml:space="preserve">内 </t>
    </r>
    <r>
      <rPr>
        <sz val="10"/>
        <rFont val="Yu Gothic"/>
        <family val="0"/>
        <charset val="1"/>
      </rPr>
      <t xml:space="preserve">FT-0002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</si>
  <si>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出典</t>
    </r>
    <r>
      <rPr>
        <sz val="9"/>
        <color rgb="FF595959"/>
        <rFont val="Yu Gothic"/>
        <family val="0"/>
        <charset val="1"/>
      </rPr>
      <t xml:space="preserve">: project.pha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Yu Gothic"/>
        <family val="0"/>
        <charset val="1"/>
      </rPr>
      <t xml:space="preserve">PHA_Organizer 3.1.1</t>
    </r>
    <r>
      <rPr>
        <sz val="9"/>
        <color rgb="FF595959"/>
        <rFont val="WenQuanYi Zen Hei"/>
        <family val="2"/>
      </rPr>
      <t xml:space="preserve">）設定値を抽出 </t>
    </r>
    <r>
      <rPr>
        <sz val="9"/>
        <color rgb="FF595959"/>
        <rFont val="Yu Gothic"/>
        <family val="0"/>
        <charset val="1"/>
      </rPr>
      <t xml:space="preserve">2026-07-21</t>
    </r>
  </si>
  <si>
    <r>
      <rPr>
        <sz val="10"/>
        <rFont val="WenQuanYi Zen Hei"/>
        <family val="2"/>
      </rPr>
      <t xml:space="preserve">本シートの値 </t>
    </r>
    <r>
      <rPr>
        <sz val="10"/>
        <rFont val="Yu Gothic"/>
        <family val="0"/>
        <charset val="1"/>
      </rPr>
      <t xml:space="preserve">÷ PHA_Organizer</t>
    </r>
    <r>
      <rPr>
        <sz val="10"/>
        <rFont val="WenQuanYi Zen Hei"/>
        <family val="2"/>
      </rPr>
      <t xml:space="preserve">値</t>
    </r>
  </si>
  <si>
    <t xml:space="preserve">掛け算・足し算の体系は同じ。差の理由は下の説明を参照。</t>
  </si>
  <si>
    <t xml:space="preserve">なぜ差が出るか（計算方式は同じ、経路の網羅が違う）</t>
  </si>
  <si>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は</t>
    </r>
    <r>
      <rPr>
        <sz val="10"/>
        <rFont val="Yu Gothic"/>
        <family val="0"/>
        <charset val="1"/>
      </rPr>
      <t xml:space="preserve">HAZchart</t>
    </r>
    <r>
      <rPr>
        <sz val="10"/>
        <rFont val="WenQuanYi Zen Hei"/>
        <family val="2"/>
      </rPr>
      <t xml:space="preserve">全体を</t>
    </r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に変換し、最終事象に至る「すべての経路」（この例では</t>
    </r>
    <r>
      <rPr>
        <sz val="10"/>
        <rFont val="Yu Gothic"/>
        <family val="0"/>
        <charset val="1"/>
      </rPr>
      <t xml:space="preserve">PDK</t>
    </r>
    <r>
      <rPr>
        <sz val="10"/>
        <rFont val="WenQuanYi Zen Hei"/>
        <family val="2"/>
      </rPr>
      <t xml:space="preserve">圧力検出や</t>
    </r>
    <r>
      <rPr>
        <sz val="10"/>
        <rFont val="Yu Gothic"/>
        <family val="0"/>
        <charset val="1"/>
      </rPr>
      <t xml:space="preserve">TK</t>
    </r>
    <r>
      <rPr>
        <sz val="10"/>
        <rFont val="WenQuanYi Zen Hei"/>
        <family val="2"/>
      </rPr>
      <t xml:space="preserve">温度検出を経由する分岐を含む）をカットセット（基本事象の組合せ）に展開して、組合せごとに確率の積を取り、それを合計する。本シートは主経路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本だけを計算しているため約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割小さく出る。経路が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本だけのシナリオなら、本シートと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は同じ数字になる。分岐が多いシナリオを正確にやりたいときは、経路をカットセットとして書き出して合計すればよい。やり方と例題の実演は</t>
    </r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計算</t>
    </r>
    <r>
      <rPr>
        <sz val="10"/>
        <rFont val="Yu Gothic"/>
        <family val="0"/>
        <charset val="1"/>
      </rPr>
      <t xml:space="preserve">_</t>
    </r>
    <r>
      <rPr>
        <sz val="10"/>
        <rFont val="WenQuanYi Zen Hei"/>
        <family val="2"/>
      </rPr>
      <t xml:space="preserve">カットセットシート。</t>
    </r>
  </si>
  <si>
    <r>
      <rPr>
        <b val="true"/>
        <sz val="11"/>
        <rFont val="WenQuanYi Zen Hei"/>
        <family val="2"/>
      </rPr>
      <t xml:space="preserve">対策効果の見える化（この例での</t>
    </r>
    <r>
      <rPr>
        <b val="true"/>
        <sz val="11"/>
        <rFont val="Yu Gothic"/>
        <family val="0"/>
        <charset val="1"/>
      </rPr>
      <t xml:space="preserve">What-if</t>
    </r>
    <r>
      <rPr>
        <b val="true"/>
        <sz val="11"/>
        <rFont val="WenQuanYi Zen Hei"/>
        <family val="2"/>
      </rPr>
      <t xml:space="preserve">）</t>
    </r>
  </si>
  <si>
    <t xml:space="preserve">ケース</t>
  </si>
  <si>
    <t xml:space="preserve">内容</t>
  </si>
  <si>
    <r>
      <rPr>
        <b val="true"/>
        <sz val="10"/>
        <rFont val="WenQuanYi Zen Hei"/>
        <family val="2"/>
      </rPr>
      <t xml:space="preserve">頻度</t>
    </r>
    <r>
      <rPr>
        <b val="true"/>
        <sz val="10"/>
        <rFont val="Yu Gothic"/>
        <family val="0"/>
        <charset val="1"/>
      </rPr>
      <t xml:space="preserve">(/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Yu Gothic"/>
        <family val="0"/>
        <charset val="1"/>
      </rPr>
      <t xml:space="preserve">)</t>
    </r>
  </si>
  <si>
    <t xml:space="preserve">現状との比</t>
  </si>
  <si>
    <t xml:space="preserve">現状</t>
  </si>
  <si>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LK</t>
    </r>
    <r>
      <rPr>
        <sz val="10"/>
        <rFont val="WenQuanYi Zen Hei"/>
        <family val="2"/>
      </rPr>
      <t xml:space="preserve">＋運転員）＋層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OSS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</si>
  <si>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なし</t>
    </r>
  </si>
  <si>
    <r>
      <rPr>
        <sz val="10"/>
        <rFont val="Yu Gothic"/>
        <family val="0"/>
        <charset val="1"/>
      </rPr>
      <t xml:space="preserve">OSS</t>
    </r>
    <r>
      <rPr>
        <sz val="10"/>
        <rFont val="WenQuanYi Zen Hei"/>
        <family val="2"/>
      </rPr>
      <t xml:space="preserve">が無い場合（運転員頼み）</t>
    </r>
  </si>
  <si>
    <r>
      <rPr>
        <sz val="10"/>
        <rFont val="WenQuanYi Zen Hei"/>
        <family val="2"/>
      </rPr>
      <t xml:space="preserve">層を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つ追加</t>
    </r>
  </si>
  <si>
    <r>
      <rPr>
        <sz val="10"/>
        <rFont val="WenQuanYi Zen Hei"/>
        <family val="2"/>
      </rPr>
      <t xml:space="preserve">独立したインターロックをもう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層追加（</t>
    </r>
    <r>
      <rPr>
        <sz val="10"/>
        <rFont val="Yu Gothic"/>
        <family val="0"/>
        <charset val="1"/>
      </rPr>
      <t xml:space="preserve">PFD</t>
    </r>
    <r>
      <rPr>
        <sz val="10"/>
        <rFont val="WenQuanYi Zen Hei"/>
        <family val="2"/>
      </rPr>
      <t xml:space="preserve">は層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と同等と仮定）</t>
    </r>
  </si>
  <si>
    <r>
      <rPr>
        <sz val="9"/>
        <color rgb="FF595959"/>
        <rFont val="WenQuanYi Zen Hei"/>
        <family val="2"/>
      </rPr>
      <t xml:space="preserve">（読み方）層を</t>
    </r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つ追加すると頻度は追加層の</t>
    </r>
    <r>
      <rPr>
        <sz val="9"/>
        <color rgb="FF595959"/>
        <rFont val="Yu Gothic"/>
        <family val="0"/>
        <charset val="1"/>
      </rPr>
      <t xml:space="preserve">PFD</t>
    </r>
    <r>
      <rPr>
        <sz val="9"/>
        <color rgb="FF595959"/>
        <rFont val="WenQuanYi Zen Hei"/>
        <family val="2"/>
      </rPr>
      <t xml:space="preserve">倍（約</t>
    </r>
    <r>
      <rPr>
        <sz val="9"/>
        <color rgb="FF595959"/>
        <rFont val="Yu Gothic"/>
        <family val="0"/>
        <charset val="1"/>
      </rPr>
      <t xml:space="preserve">1/12</t>
    </r>
    <r>
      <rPr>
        <sz val="9"/>
        <color rgb="FF595959"/>
        <rFont val="WenQuanYi Zen Hei"/>
        <family val="2"/>
      </rPr>
      <t xml:space="preserve">）に下がる。ただし追加層が既存層と検出器や</t>
    </r>
    <r>
      <rPr>
        <sz val="9"/>
        <color rgb="FF595959"/>
        <rFont val="Yu Gothic"/>
        <family val="0"/>
        <charset val="1"/>
      </rPr>
      <t xml:space="preserve">DCS</t>
    </r>
    <r>
      <rPr>
        <sz val="9"/>
        <color rgb="FF595959"/>
        <rFont val="WenQuanYi Zen Hei"/>
        <family val="2"/>
      </rPr>
      <t xml:space="preserve">を共有すると効果はここまで出ない（コモン事象）。</t>
    </r>
  </si>
  <si>
    <t xml:space="preserve">リスクマトリックス（しきい値を入力して確定させる）</t>
  </si>
  <si>
    <r>
      <rPr>
        <b val="true"/>
        <sz val="10"/>
        <color rgb="FFFF0000"/>
        <rFont val="WenQuanYi Zen Hei"/>
        <family val="2"/>
      </rPr>
      <t xml:space="preserve">黄色セルの初期値は仮置き（</t>
    </r>
    <r>
      <rPr>
        <b val="true"/>
        <sz val="10"/>
        <color rgb="FFFF0000"/>
        <rFont val="Yu Gothic"/>
        <family val="0"/>
        <charset val="1"/>
      </rPr>
      <t xml:space="preserve">/hr</t>
    </r>
    <r>
      <rPr>
        <b val="true"/>
        <sz val="10"/>
        <color rgb="FFFF0000"/>
        <rFont val="WenQuanYi Zen Hei"/>
        <family val="2"/>
      </rPr>
      <t xml:space="preserve">列は</t>
    </r>
    <r>
      <rPr>
        <b val="true"/>
        <sz val="10"/>
        <color rgb="FFFF0000"/>
        <rFont val="Yu Gothic"/>
        <family val="0"/>
        <charset val="1"/>
      </rPr>
      <t xml:space="preserve">/</t>
    </r>
    <r>
      <rPr>
        <b val="true"/>
        <sz val="10"/>
        <color rgb="FFFF0000"/>
        <rFont val="WenQuanYi Zen Hei"/>
        <family val="2"/>
      </rPr>
      <t xml:space="preserve">年列</t>
    </r>
    <r>
      <rPr>
        <b val="true"/>
        <sz val="10"/>
        <color rgb="FFFF0000"/>
        <rFont val="Yu Gothic"/>
        <family val="0"/>
        <charset val="1"/>
      </rPr>
      <t xml:space="preserve">÷8760</t>
    </r>
    <r>
      <rPr>
        <b val="true"/>
        <sz val="10"/>
        <color rgb="FFFF0000"/>
        <rFont val="WenQuanYi Zen Hei"/>
        <family val="2"/>
      </rPr>
      <t xml:space="preserve">）。</t>
    </r>
    <r>
      <rPr>
        <b val="true"/>
        <sz val="10"/>
        <color rgb="FFFF0000"/>
        <rFont val="Yu Gothic"/>
        <family val="0"/>
        <charset val="1"/>
      </rPr>
      <t xml:space="preserve">C-2-3</t>
    </r>
    <r>
      <rPr>
        <b val="true"/>
        <sz val="10"/>
        <color rgb="FFFF0000"/>
        <rFont val="WenQuanYi Zen Hei"/>
        <family val="2"/>
      </rPr>
      <t xml:space="preserve">の正式な区分・しきい値・ゾーン割付に差し替えてから判定を使うこと（要確認）。</t>
    </r>
  </si>
  <si>
    <t xml:space="preserve">頻度レベル（しきい値＝黄色セル。判定は「以上」で上から引く）</t>
  </si>
  <si>
    <t xml:space="preserve">レベル</t>
  </si>
  <si>
    <t xml:space="preserve">意味</t>
  </si>
  <si>
    <r>
      <rPr>
        <b val="true"/>
        <sz val="10"/>
        <rFont val="WenQuanYi Zen Hei"/>
        <family val="2"/>
      </rPr>
      <t xml:space="preserve">しきい値（</t>
    </r>
    <r>
      <rPr>
        <b val="true"/>
        <sz val="10"/>
        <rFont val="Yu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年 以上）</t>
    </r>
  </si>
  <si>
    <r>
      <rPr>
        <b val="true"/>
        <sz val="10"/>
        <rFont val="WenQuanYi Zen Hei"/>
        <family val="2"/>
      </rPr>
      <t xml:space="preserve">しきい値（</t>
    </r>
    <r>
      <rPr>
        <b val="true"/>
        <sz val="10"/>
        <rFont val="Yu Gothic"/>
        <family val="0"/>
        <charset val="1"/>
      </rPr>
      <t xml:space="preserve">/hr </t>
    </r>
    <r>
      <rPr>
        <b val="true"/>
        <sz val="10"/>
        <rFont val="WenQuanYi Zen Hei"/>
        <family val="2"/>
      </rPr>
      <t xml:space="preserve">以上）</t>
    </r>
  </si>
  <si>
    <t xml:space="preserve">E</t>
  </si>
  <si>
    <t xml:space="preserve">年に何回も起こりうる</t>
  </si>
  <si>
    <t xml:space="preserve">D</t>
  </si>
  <si>
    <t xml:space="preserve">検出が弱いと起こる</t>
  </si>
  <si>
    <t xml:space="preserve">C</t>
  </si>
  <si>
    <t xml:space="preserve">管理されていれば稀</t>
  </si>
  <si>
    <t xml:space="preserve">B</t>
  </si>
  <si>
    <t xml:space="preserve">多重故障が必要</t>
  </si>
  <si>
    <t xml:space="preserve">A</t>
  </si>
  <si>
    <t xml:space="preserve">上記未満（実質起こらない）</t>
  </si>
  <si>
    <t xml:space="preserve">-</t>
  </si>
  <si>
    <t xml:space="preserve">影響度レベル</t>
  </si>
  <si>
    <t xml:space="preserve">1</t>
  </si>
  <si>
    <t xml:space="preserve">事故</t>
  </si>
  <si>
    <t xml:space="preserve">火災・爆発・大量漏洩・重大な人的被害</t>
  </si>
  <si>
    <t xml:space="preserve">2</t>
  </si>
  <si>
    <t xml:space="preserve">重大トラブル</t>
  </si>
  <si>
    <t xml:space="preserve">漏洩・機器損傷・長期の運転停止</t>
  </si>
  <si>
    <t xml:space="preserve">3</t>
  </si>
  <si>
    <t xml:space="preserve">トラブル</t>
  </si>
  <si>
    <r>
      <rPr>
        <sz val="10"/>
        <rFont val="WenQuanYi Zen Hei"/>
        <family val="2"/>
      </rPr>
      <t xml:space="preserve">運転阻害・軽微な損傷（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週間未満で復旧）</t>
    </r>
  </si>
  <si>
    <t xml:space="preserve">4</t>
  </si>
  <si>
    <t xml:space="preserve">小トラブル</t>
  </si>
  <si>
    <t xml:space="preserve">放出なし・プロセス乱れのみ</t>
  </si>
  <si>
    <r>
      <rPr>
        <b val="true"/>
        <sz val="11"/>
        <rFont val="WenQuanYi Zen Hei"/>
        <family val="2"/>
      </rPr>
      <t xml:space="preserve">マトリックス（行</t>
    </r>
    <r>
      <rPr>
        <b val="true"/>
        <sz val="11"/>
        <rFont val="Yu Gothic"/>
        <family val="0"/>
        <charset val="1"/>
      </rPr>
      <t xml:space="preserve">=</t>
    </r>
    <r>
      <rPr>
        <b val="true"/>
        <sz val="11"/>
        <rFont val="WenQuanYi Zen Hei"/>
        <family val="2"/>
      </rPr>
      <t xml:space="preserve">頻度レベル、列</t>
    </r>
    <r>
      <rPr>
        <b val="true"/>
        <sz val="11"/>
        <rFont val="Yu Gothic"/>
        <family val="0"/>
        <charset val="1"/>
      </rPr>
      <t xml:space="preserve">=</t>
    </r>
    <r>
      <rPr>
        <b val="true"/>
        <sz val="11"/>
        <rFont val="WenQuanYi Zen Hei"/>
        <family val="2"/>
      </rPr>
      <t xml:space="preserve">影響度レベル）</t>
    </r>
  </si>
  <si>
    <t xml:space="preserve">頻度</t>
  </si>
  <si>
    <r>
      <rPr>
        <b val="true"/>
        <sz val="10"/>
        <rFont val="WenQuanYi Zen Hei"/>
        <family val="2"/>
      </rPr>
      <t xml:space="preserve">影響度</t>
    </r>
    <r>
      <rPr>
        <b val="true"/>
        <sz val="10"/>
        <rFont val="Yu Gothic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</si>
  <si>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影響度</t>
    </r>
    <r>
      <rPr>
        <b val="true"/>
        <sz val="10"/>
        <rFont val="Yu Gothic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</si>
  <si>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影響度</t>
    </r>
    <r>
      <rPr>
        <b val="true"/>
        <sz val="10"/>
        <rFont val="Yu Gothic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</si>
  <si>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影響度</t>
    </r>
    <r>
      <rPr>
        <b val="true"/>
        <sz val="10"/>
        <rFont val="Yu Gothic"/>
        <family val="0"/>
        <charset val="1"/>
      </rPr>
      <t xml:space="preserve">4</t>
    </r>
  </si>
  <si>
    <t xml:space="preserve">赤</t>
  </si>
  <si>
    <t xml:space="preserve">黄</t>
  </si>
  <si>
    <t xml:space="preserve">緑</t>
  </si>
  <si>
    <r>
      <rPr>
        <sz val="9"/>
        <color rgb="FF595959"/>
        <rFont val="WenQuanYi Zen Hei"/>
        <family val="2"/>
      </rPr>
      <t xml:space="preserve">赤</t>
    </r>
    <r>
      <rPr>
        <sz val="9"/>
        <color rgb="FF595959"/>
        <rFont val="Yu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許容不可（対策必須） 黄</t>
    </r>
    <r>
      <rPr>
        <sz val="9"/>
        <color rgb="FF595959"/>
        <rFont val="Yu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条件付き（管理・監視強化のうえ猶予） 緑</t>
    </r>
    <r>
      <rPr>
        <sz val="9"/>
        <color rgb="FF595959"/>
        <rFont val="Yu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許容可。ゾーンの文字（赤</t>
    </r>
    <r>
      <rPr>
        <sz val="9"/>
        <color rgb="FF595959"/>
        <rFont val="Yu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黄</t>
    </r>
    <r>
      <rPr>
        <sz val="9"/>
        <color rgb="FF595959"/>
        <rFont val="Yu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緑）も入力セル扱い＝</t>
    </r>
    <r>
      <rPr>
        <sz val="9"/>
        <color rgb="FF595959"/>
        <rFont val="Yu Gothic"/>
        <family val="0"/>
        <charset val="1"/>
      </rPr>
      <t xml:space="preserve">C-2-3</t>
    </r>
    <r>
      <rPr>
        <sz val="9"/>
        <color rgb="FF595959"/>
        <rFont val="WenQuanYi Zen Hei"/>
        <family val="2"/>
      </rPr>
      <t xml:space="preserve">の割付に合わせて書き換えてよい（色は手動で変更）。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</si>
</sst>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E+00"/>
    <numFmt numFmtId="166" formatCode="0.0"/>
    <numFmt numFmtId="167" formatCode="0.000"/>
    <numFmt numFmtId="168" formatCode="0"/>
    <numFmt numFmtId="169" formatCode="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Yu Gothic"/>
      <family val="0"/>
      <charset val="1"/>
    </font>
    <font>
      <b val="true"/>
      <sz val="1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Yu Gothic"/>
      <family val="0"/>
      <charset val="1"/>
    </font>
    <font>
      <b val="true"/>
      <sz val="10"/>
      <name val="WenQuanYi Zen Hei"/>
      <family val="2"/>
    </font>
    <font>
      <sz val="10"/>
      <name val="Yu Gothic"/>
      <family val="0"/>
      <charset val="1"/>
    </font>
    <font>
      <sz val="10"/>
      <name val="WenQuanYi Zen Hei"/>
      <family val="2"/>
    </font>
    <font>
      <b val="true"/>
      <sz val="10"/>
      <name val="Yu Gothic"/>
      <family val="0"/>
      <charset val="1"/>
    </font>
    <font>
      <b val="true"/>
      <sz val="10"/>
      <color rgb="FFFF0000"/>
      <name val="WenQuanYi Zen Hei"/>
      <family val="2"/>
    </font>
    <font>
      <b val="true"/>
      <sz val="11"/>
      <name val="Yu Gothic"/>
      <family val="0"/>
      <charset val="1"/>
    </font>
    <font>
      <b val="true"/>
      <sz val="11"/>
      <name val="WenQuanYi Zen Hei"/>
      <family val="2"/>
    </font>
    <font>
      <sz val="10"/>
      <color rgb="FF0000FF"/>
      <name val="Yu Gothic"/>
      <family val="0"/>
      <charset val="1"/>
    </font>
    <font>
      <sz val="10"/>
      <color rgb="FF0000FF"/>
      <name val="WenQuanYi Zen Hei"/>
      <family val="2"/>
    </font>
    <font>
      <b val="true"/>
      <sz val="10"/>
      <color rgb="FFFF0000"/>
      <name val="Yu Gothic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D9D9D9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6666"/>
        <bgColor rgb="FFFF6600"/>
      </patternFill>
    </fill>
    <fill>
      <patternFill patternType="solid">
        <fgColor rgb="FFFFFF99"/>
        <bgColor rgb="FFFFFFCC"/>
      </patternFill>
    </fill>
    <fill>
      <patternFill patternType="solid">
        <fgColor rgb="FF99CC99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9CC99"/>
      <rgbColor rgb="FF808080"/>
      <rgbColor rgb="FF9999FF"/>
      <rgbColor rgb="FF993366"/>
      <rgbColor rgb="FFFFFFCC"/>
      <rgbColor rgb="FFCCFFFF"/>
      <rgbColor rgb="FF660066"/>
      <rgbColor rgb="FFFF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5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1.5" hidden="false" customHeight="true" outlineLevel="0" collapsed="false">
      <c r="B5" s="3" t="s">
        <v>2</v>
      </c>
      <c r="C5" s="4" t="s">
        <v>3</v>
      </c>
    </row>
    <row r="6" customFormat="false" ht="31.5" hidden="false" customHeight="true" outlineLevel="0" collapsed="false">
      <c r="B6" s="3" t="s">
        <v>4</v>
      </c>
      <c r="C6" s="5" t="s">
        <v>5</v>
      </c>
    </row>
    <row r="7" customFormat="false" ht="31.5" hidden="false" customHeight="true" outlineLevel="0" collapsed="false">
      <c r="B7" s="3" t="s">
        <v>6</v>
      </c>
      <c r="C7" s="5" t="s">
        <v>7</v>
      </c>
    </row>
    <row r="8" customFormat="false" ht="31.5" hidden="false" customHeight="true" outlineLevel="0" collapsed="false">
      <c r="B8" s="3" t="s">
        <v>8</v>
      </c>
      <c r="C8" s="5" t="s">
        <v>9</v>
      </c>
    </row>
    <row r="9" customFormat="false" ht="31.5" hidden="false" customHeight="true" outlineLevel="0" collapsed="false">
      <c r="B9" s="3" t="s">
        <v>10</v>
      </c>
      <c r="C9" s="5" t="s">
        <v>11</v>
      </c>
    </row>
    <row r="10" customFormat="false" ht="31.5" hidden="false" customHeight="true" outlineLevel="0" collapsed="false">
      <c r="B10" s="3" t="s">
        <v>12</v>
      </c>
      <c r="C10" s="5" t="s">
        <v>13</v>
      </c>
    </row>
    <row r="11" customFormat="false" ht="31.5" hidden="false" customHeight="true" outlineLevel="0" collapsed="false">
      <c r="B11" s="3" t="s">
        <v>14</v>
      </c>
      <c r="C11" s="5" t="s">
        <v>15</v>
      </c>
    </row>
    <row r="12" customFormat="false" ht="31.5" hidden="false" customHeight="true" outlineLevel="0" collapsed="false">
      <c r="B12" s="3" t="s">
        <v>16</v>
      </c>
      <c r="C12" s="5" t="s">
        <v>17</v>
      </c>
    </row>
    <row r="14" customFormat="false" ht="15" hidden="false" customHeight="false" outlineLevel="0" collapsed="false">
      <c r="B14" s="6" t="s">
        <v>18</v>
      </c>
    </row>
    <row r="15" customFormat="false" ht="27.75" hidden="false" customHeight="true" outlineLevel="0" collapsed="false">
      <c r="C15" s="7" t="s">
        <v>19</v>
      </c>
    </row>
    <row r="16" customFormat="false" ht="27.75" hidden="false" customHeight="true" outlineLevel="0" collapsed="false">
      <c r="C16" s="7" t="s">
        <v>20</v>
      </c>
    </row>
    <row r="17" customFormat="false" ht="27.75" hidden="false" customHeight="true" outlineLevel="0" collapsed="false">
      <c r="C17" s="7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22"/>
    <col collapsed="false" customWidth="true" hidden="false" outlineLevel="0" max="4" min="4" style="0" width="95"/>
  </cols>
  <sheetData>
    <row r="2" customFormat="false" ht="19.4" hidden="false" customHeight="false" outlineLevel="0" collapsed="false">
      <c r="B2" s="1" t="s">
        <v>22</v>
      </c>
    </row>
    <row r="4" customFormat="false" ht="15" hidden="false" customHeight="false" outlineLevel="0" collapsed="false">
      <c r="B4" s="8" t="s">
        <v>23</v>
      </c>
    </row>
    <row r="5" customFormat="false" ht="15" hidden="false" customHeight="false" outlineLevel="0" collapsed="false">
      <c r="B5" s="9" t="s">
        <v>24</v>
      </c>
      <c r="D5" s="4" t="s">
        <v>25</v>
      </c>
    </row>
    <row r="6" customFormat="false" ht="15" hidden="false" customHeight="false" outlineLevel="0" collapsed="false">
      <c r="B6" s="9" t="s">
        <v>26</v>
      </c>
      <c r="D6" s="4" t="s">
        <v>27</v>
      </c>
    </row>
    <row r="7" customFormat="false" ht="15" hidden="false" customHeight="false" outlineLevel="0" collapsed="false">
      <c r="B7" s="9" t="s">
        <v>28</v>
      </c>
      <c r="D7" s="4" t="s">
        <v>29</v>
      </c>
    </row>
    <row r="8" customFormat="false" ht="15" hidden="false" customHeight="false" outlineLevel="0" collapsed="false">
      <c r="B8" s="9" t="s">
        <v>30</v>
      </c>
      <c r="D8" s="5" t="s">
        <v>31</v>
      </c>
    </row>
    <row r="10" customFormat="false" ht="15" hidden="false" customHeight="false" outlineLevel="0" collapsed="false">
      <c r="B10" s="8" t="s">
        <v>32</v>
      </c>
    </row>
    <row r="11" customFormat="false" ht="15" hidden="false" customHeight="false" outlineLevel="0" collapsed="false">
      <c r="B11" s="9" t="s">
        <v>33</v>
      </c>
      <c r="D11" s="5" t="s">
        <v>34</v>
      </c>
    </row>
    <row r="12" customFormat="false" ht="15" hidden="false" customHeight="false" outlineLevel="0" collapsed="false">
      <c r="B12" s="9" t="s">
        <v>35</v>
      </c>
      <c r="D12" s="5" t="s">
        <v>36</v>
      </c>
    </row>
    <row r="14" customFormat="false" ht="15" hidden="false" customHeight="false" outlineLevel="0" collapsed="false">
      <c r="B14" s="8" t="s">
        <v>37</v>
      </c>
    </row>
    <row r="15" customFormat="false" ht="43.5" hidden="false" customHeight="true" outlineLevel="0" collapsed="false">
      <c r="B15" s="9" t="s">
        <v>38</v>
      </c>
      <c r="D15" s="5" t="s">
        <v>39</v>
      </c>
    </row>
    <row r="16" customFormat="false" ht="43.5" hidden="false" customHeight="true" outlineLevel="0" collapsed="false">
      <c r="B16" s="9" t="s">
        <v>40</v>
      </c>
      <c r="D16" s="5" t="s">
        <v>41</v>
      </c>
    </row>
    <row r="17" customFormat="false" ht="43.5" hidden="false" customHeight="true" outlineLevel="0" collapsed="false">
      <c r="B17" s="10" t="s">
        <v>42</v>
      </c>
      <c r="D17" s="5" t="s">
        <v>43</v>
      </c>
    </row>
    <row r="18" customFormat="false" ht="43.5" hidden="false" customHeight="true" outlineLevel="0" collapsed="false">
      <c r="B18" s="10" t="s">
        <v>44</v>
      </c>
      <c r="D18" s="5" t="s">
        <v>45</v>
      </c>
    </row>
    <row r="19" customFormat="false" ht="43.5" hidden="false" customHeight="true" outlineLevel="0" collapsed="false">
      <c r="B19" s="9" t="s">
        <v>46</v>
      </c>
      <c r="D19" s="5" t="s">
        <v>47</v>
      </c>
    </row>
    <row r="20" customFormat="false" ht="30" hidden="false" customHeight="true" outlineLevel="0" collapsed="false">
      <c r="B20" s="5" t="s">
        <v>48</v>
      </c>
      <c r="C20" s="11" t="n">
        <f aca="false">(INDEX(確率DB!$E$4:$E$27,MATCH("流量計／故障",確率DB!$B$4:$B$27,0))+INDEX(確率DB!$E$4:$E$27,MATCH("DCS／故障",確率DB!$B$4:$B$27,0)))*8760*INDEX(確率DB!$G$4:$G$27,MATCH("ヒューマンエラー／発見したが対処できない（時間余裕10分）",確率DB!$B$4:$B$27,0))</f>
        <v>0.315361387584</v>
      </c>
      <c r="D20" s="12" t="s">
        <v>49</v>
      </c>
    </row>
    <row r="22" customFormat="false" ht="15" hidden="false" customHeight="false" outlineLevel="0" collapsed="false">
      <c r="B22" s="8" t="s">
        <v>50</v>
      </c>
    </row>
    <row r="23" customFormat="false" ht="27.75" hidden="false" customHeight="true" outlineLevel="0" collapsed="false">
      <c r="B23" s="9" t="s">
        <v>51</v>
      </c>
      <c r="D23" s="4" t="s">
        <v>52</v>
      </c>
    </row>
    <row r="24" customFormat="false" ht="27.75" hidden="false" customHeight="true" outlineLevel="0" collapsed="false">
      <c r="B24" s="9" t="s">
        <v>53</v>
      </c>
      <c r="D24" s="4" t="s">
        <v>54</v>
      </c>
    </row>
    <row r="25" customFormat="false" ht="27.75" hidden="false" customHeight="true" outlineLevel="0" collapsed="false">
      <c r="B25" s="9" t="s">
        <v>55</v>
      </c>
      <c r="D25" s="4" t="s">
        <v>56</v>
      </c>
    </row>
    <row r="26" customFormat="false" ht="27.75" hidden="false" customHeight="true" outlineLevel="0" collapsed="false">
      <c r="B26" s="9" t="s">
        <v>57</v>
      </c>
      <c r="D26" s="5" t="s">
        <v>58</v>
      </c>
    </row>
    <row r="28" customFormat="false" ht="15" hidden="false" customHeight="false" outlineLevel="0" collapsed="false">
      <c r="B28" s="8" t="s">
        <v>59</v>
      </c>
    </row>
    <row r="29" customFormat="false" ht="30" hidden="false" customHeight="true" outlineLevel="0" collapsed="false">
      <c r="B29" s="9" t="s">
        <v>60</v>
      </c>
      <c r="D29" s="5" t="s">
        <v>61</v>
      </c>
    </row>
    <row r="30" customFormat="false" ht="30" hidden="false" customHeight="true" outlineLevel="0" collapsed="false">
      <c r="B30" s="9" t="s">
        <v>62</v>
      </c>
      <c r="D30" s="5" t="s">
        <v>63</v>
      </c>
    </row>
    <row r="31" customFormat="false" ht="30" hidden="false" customHeight="true" outlineLevel="0" collapsed="false">
      <c r="B31" s="9" t="s">
        <v>64</v>
      </c>
      <c r="D31" s="5" t="s">
        <v>65</v>
      </c>
    </row>
    <row r="32" customFormat="false" ht="30" hidden="false" customHeight="true" outlineLevel="0" collapsed="false">
      <c r="B32" s="9" t="s">
        <v>66</v>
      </c>
      <c r="D32" s="5" t="s">
        <v>67</v>
      </c>
    </row>
    <row r="34" customFormat="false" ht="15" hidden="false" customHeight="false" outlineLevel="0" collapsed="false">
      <c r="B34" s="8" t="s">
        <v>68</v>
      </c>
    </row>
    <row r="35" customFormat="false" ht="15" hidden="false" customHeight="false" outlineLevel="0" collapsed="false">
      <c r="B35" s="13" t="s">
        <v>69</v>
      </c>
      <c r="C35" s="13" t="s">
        <v>70</v>
      </c>
      <c r="D35" s="13" t="s">
        <v>71</v>
      </c>
    </row>
    <row r="36" customFormat="false" ht="15" hidden="false" customHeight="false" outlineLevel="0" collapsed="false">
      <c r="B36" s="5" t="s">
        <v>72</v>
      </c>
      <c r="C36" s="11" t="n">
        <f aca="false">MIN(1,INDEX(確率DB!$G$4:$G$27,MATCH("液面計／故障",確率DB!$B$4:$B$27,0))+INDEX(確率DB!$G$4:$G$27,MATCH("ヒューマンエラー／アラームに気づかない",確率DB!$B$4:$B$27,0))+INDEX(確率DB!$G$4:$G$27,MATCH("ヒューマンエラー／発見したが対処できない（時間余裕10分）",確率DB!$B$4:$B$27,0)))</f>
        <v>0.3686</v>
      </c>
      <c r="D36" s="14" t="n">
        <f aca="false">ROUND(1/C36,1)</f>
        <v>2.7</v>
      </c>
    </row>
    <row r="37" customFormat="false" ht="15" hidden="false" customHeight="false" outlineLevel="0" collapsed="false">
      <c r="B37" s="5" t="s">
        <v>73</v>
      </c>
      <c r="C37" s="11" t="n">
        <f aca="false">INDEX(確率DB!$G$4:$G$27,MATCH("圧力計／故障",確率DB!$B$4:$B$27,0))+INDEX(確率DB!$G$4:$G$27,MATCH("リレー回路／故障",確率DB!$B$4:$B$27,0))+INDEX(確率DB!$G$4:$G$27,MATCH("空気調整弁／故障",確率DB!$B$4:$B$27,0))</f>
        <v>0.08219</v>
      </c>
      <c r="D37" s="14" t="n">
        <f aca="false">ROUND(1/C37,1)</f>
        <v>12.2</v>
      </c>
    </row>
    <row r="38" customFormat="false" ht="15" hidden="false" customHeight="false" outlineLevel="0" collapsed="false">
      <c r="B38" s="5" t="s">
        <v>74</v>
      </c>
      <c r="C38" s="11" t="n">
        <f aca="false">INDEX(確率DB!$G$4:$G$27,MATCH("安全弁／故障",確率DB!$B$4:$B$27,0))</f>
        <v>0.00022</v>
      </c>
      <c r="D38" s="14" t="n">
        <f aca="false">ROUND(1/C38,1)</f>
        <v>4545.5</v>
      </c>
    </row>
    <row r="39" customFormat="false" ht="39.75" hidden="false" customHeight="true" outlineLevel="0" collapsed="false">
      <c r="B39" s="12" t="s">
        <v>75</v>
      </c>
    </row>
    <row r="41" customFormat="false" ht="15" hidden="false" customHeight="false" outlineLevel="0" collapsed="false">
      <c r="B41" s="8" t="s">
        <v>76</v>
      </c>
    </row>
    <row r="42" customFormat="false" ht="15" hidden="false" customHeight="false" outlineLevel="0" collapsed="false">
      <c r="B42" s="15" t="s">
        <v>77</v>
      </c>
      <c r="C42" s="11" t="n">
        <f aca="false">INDEX(確率DB!$E$4:$E$27,MATCH("温度計／故障",確率DB!$B$4:$B$27,0))*720/2</f>
        <v>0.03492</v>
      </c>
      <c r="D42" s="12" t="s">
        <v>78</v>
      </c>
    </row>
    <row r="43" customFormat="false" ht="15" hidden="false" customHeight="false" outlineLevel="0" collapsed="false">
      <c r="B43" s="16" t="s">
        <v>79</v>
      </c>
      <c r="C43" s="17" t="n">
        <f aca="false">0.3+0.08</f>
        <v>0.38</v>
      </c>
      <c r="D43" s="12" t="s">
        <v>80</v>
      </c>
    </row>
    <row r="45" customFormat="false" ht="15" hidden="false" customHeight="false" outlineLevel="0" collapsed="false">
      <c r="B45" s="8" t="s">
        <v>81</v>
      </c>
    </row>
    <row r="46" customFormat="false" ht="39.75" hidden="false" customHeight="true" outlineLevel="0" collapsed="false">
      <c r="D46" s="7" t="s">
        <v>82</v>
      </c>
    </row>
    <row r="48" customFormat="false" ht="25.35" hidden="false" customHeight="false" outlineLevel="0" collapsed="false">
      <c r="D48" s="12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40"/>
    <col collapsed="false" customWidth="true" hidden="false" outlineLevel="0" max="10" min="10" style="0" width="46"/>
  </cols>
  <sheetData>
    <row r="1" customFormat="false" ht="19.4" hidden="false" customHeight="false" outlineLevel="0" collapsed="false">
      <c r="A1" s="18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19" t="s">
        <v>86</v>
      </c>
      <c r="B3" s="19" t="s">
        <v>87</v>
      </c>
      <c r="C3" s="19" t="s">
        <v>88</v>
      </c>
      <c r="D3" s="19" t="s">
        <v>89</v>
      </c>
      <c r="E3" s="19" t="s">
        <v>90</v>
      </c>
      <c r="F3" s="19" t="s">
        <v>91</v>
      </c>
      <c r="G3" s="19" t="s">
        <v>92</v>
      </c>
      <c r="H3" s="19" t="s">
        <v>93</v>
      </c>
      <c r="I3" s="19" t="s">
        <v>94</v>
      </c>
      <c r="J3" s="19" t="s">
        <v>95</v>
      </c>
    </row>
    <row r="4" customFormat="false" ht="23.85" hidden="false" customHeight="false" outlineLevel="0" collapsed="false">
      <c r="A4" s="15" t="s">
        <v>96</v>
      </c>
      <c r="B4" s="16" t="s">
        <v>97</v>
      </c>
      <c r="C4" s="16" t="s">
        <v>98</v>
      </c>
      <c r="D4" s="15" t="s">
        <v>99</v>
      </c>
      <c r="E4" s="11" t="n">
        <v>5.28E-010</v>
      </c>
      <c r="F4" s="20"/>
      <c r="G4" s="11" t="n">
        <v>1.94E-007</v>
      </c>
      <c r="H4" s="11" t="str">
        <f aca="false">IF(F4="","",E4*F4/2)</f>
        <v/>
      </c>
      <c r="I4" s="21" t="s">
        <v>100</v>
      </c>
      <c r="J4" s="21" t="s">
        <v>101</v>
      </c>
    </row>
    <row r="5" customFormat="false" ht="23.85" hidden="false" customHeight="false" outlineLevel="0" collapsed="false">
      <c r="A5" s="15" t="s">
        <v>102</v>
      </c>
      <c r="B5" s="15" t="s">
        <v>103</v>
      </c>
      <c r="C5" s="15" t="s">
        <v>104</v>
      </c>
      <c r="D5" s="15" t="s">
        <v>99</v>
      </c>
      <c r="E5" s="11" t="n">
        <v>9.7E-005</v>
      </c>
      <c r="F5" s="20" t="n">
        <v>720</v>
      </c>
      <c r="G5" s="11" t="n">
        <v>0.035</v>
      </c>
      <c r="H5" s="11" t="n">
        <f aca="false">IF(F5="","",E5*F5/2)</f>
        <v>0.03492</v>
      </c>
      <c r="I5" s="21" t="s">
        <v>100</v>
      </c>
      <c r="J5" s="22" t="s">
        <v>105</v>
      </c>
    </row>
    <row r="6" customFormat="false" ht="23.85" hidden="false" customHeight="false" outlineLevel="0" collapsed="false">
      <c r="A6" s="15" t="s">
        <v>102</v>
      </c>
      <c r="B6" s="15" t="s">
        <v>106</v>
      </c>
      <c r="C6" s="15" t="s">
        <v>107</v>
      </c>
      <c r="D6" s="15" t="s">
        <v>99</v>
      </c>
      <c r="E6" s="11" t="n">
        <v>0.00012</v>
      </c>
      <c r="F6" s="20" t="n">
        <v>720</v>
      </c>
      <c r="G6" s="11" t="n">
        <v>0.0433</v>
      </c>
      <c r="H6" s="11" t="n">
        <f aca="false">IF(F6="","",E6*F6/2)</f>
        <v>0.0432</v>
      </c>
      <c r="I6" s="21" t="s">
        <v>100</v>
      </c>
      <c r="J6" s="22" t="s">
        <v>105</v>
      </c>
    </row>
    <row r="7" customFormat="false" ht="23.85" hidden="false" customHeight="false" outlineLevel="0" collapsed="false">
      <c r="A7" s="15" t="s">
        <v>102</v>
      </c>
      <c r="B7" s="15" t="s">
        <v>108</v>
      </c>
      <c r="C7" s="15" t="s">
        <v>109</v>
      </c>
      <c r="D7" s="15" t="s">
        <v>99</v>
      </c>
      <c r="E7" s="11" t="n">
        <v>0.00019</v>
      </c>
      <c r="F7" s="20" t="n">
        <v>720</v>
      </c>
      <c r="G7" s="11" t="n">
        <v>0.0685</v>
      </c>
      <c r="H7" s="11" t="n">
        <f aca="false">IF(F7="","",E7*F7/2)</f>
        <v>0.0684</v>
      </c>
      <c r="I7" s="21" t="s">
        <v>100</v>
      </c>
      <c r="J7" s="22" t="s">
        <v>105</v>
      </c>
    </row>
    <row r="8" customFormat="false" ht="23.85" hidden="false" customHeight="false" outlineLevel="0" collapsed="false">
      <c r="A8" s="15" t="s">
        <v>102</v>
      </c>
      <c r="B8" s="15" t="s">
        <v>110</v>
      </c>
      <c r="C8" s="15" t="s">
        <v>111</v>
      </c>
      <c r="D8" s="15" t="s">
        <v>99</v>
      </c>
      <c r="E8" s="11" t="n">
        <v>0.00022</v>
      </c>
      <c r="F8" s="20" t="n">
        <v>720</v>
      </c>
      <c r="G8" s="11" t="n">
        <v>0.0793</v>
      </c>
      <c r="H8" s="11" t="n">
        <f aca="false">IF(F8="","",E8*F8/2)</f>
        <v>0.0792</v>
      </c>
      <c r="I8" s="21" t="s">
        <v>100</v>
      </c>
      <c r="J8" s="22" t="s">
        <v>105</v>
      </c>
    </row>
    <row r="9" customFormat="false" ht="23.85" hidden="false" customHeight="false" outlineLevel="0" collapsed="false">
      <c r="A9" s="15" t="s">
        <v>102</v>
      </c>
      <c r="B9" s="15" t="s">
        <v>112</v>
      </c>
      <c r="C9" s="15" t="s">
        <v>113</v>
      </c>
      <c r="D9" s="15" t="s">
        <v>99</v>
      </c>
      <c r="E9" s="11" t="n">
        <v>0.00097</v>
      </c>
      <c r="F9" s="20"/>
      <c r="G9" s="11" t="n">
        <v>0.093</v>
      </c>
      <c r="H9" s="11" t="str">
        <f aca="false">IF(F9="","",E9*F9/2)</f>
        <v/>
      </c>
      <c r="I9" s="21" t="s">
        <v>100</v>
      </c>
      <c r="J9" s="22"/>
    </row>
    <row r="10" customFormat="false" ht="23.85" hidden="false" customHeight="false" outlineLevel="0" collapsed="false">
      <c r="A10" s="15" t="s">
        <v>114</v>
      </c>
      <c r="B10" s="15" t="s">
        <v>115</v>
      </c>
      <c r="C10" s="15" t="s">
        <v>116</v>
      </c>
      <c r="D10" s="15" t="s">
        <v>99</v>
      </c>
      <c r="E10" s="11" t="n">
        <v>7.7E-007</v>
      </c>
      <c r="F10" s="20"/>
      <c r="G10" s="11" t="n">
        <v>9.3E-006</v>
      </c>
      <c r="H10" s="11" t="str">
        <f aca="false">IF(F10="","",E10*F10/2)</f>
        <v/>
      </c>
      <c r="I10" s="21" t="s">
        <v>100</v>
      </c>
      <c r="J10" s="22"/>
    </row>
    <row r="11" customFormat="false" ht="23.85" hidden="false" customHeight="false" outlineLevel="0" collapsed="false">
      <c r="A11" s="15" t="s">
        <v>117</v>
      </c>
      <c r="B11" s="15" t="s">
        <v>118</v>
      </c>
      <c r="C11" s="15" t="s">
        <v>119</v>
      </c>
      <c r="D11" s="15" t="s">
        <v>99</v>
      </c>
      <c r="E11" s="11" t="n">
        <v>2E-006</v>
      </c>
      <c r="F11" s="20"/>
      <c r="G11" s="11" t="n">
        <v>0.00069</v>
      </c>
      <c r="H11" s="11" t="str">
        <f aca="false">IF(F11="","",E11*F11/2)</f>
        <v/>
      </c>
      <c r="I11" s="21" t="s">
        <v>100</v>
      </c>
      <c r="J11" s="22" t="s">
        <v>120</v>
      </c>
    </row>
    <row r="12" customFormat="false" ht="23.85" hidden="false" customHeight="false" outlineLevel="0" collapsed="false">
      <c r="A12" s="15" t="s">
        <v>121</v>
      </c>
      <c r="B12" s="15" t="s">
        <v>122</v>
      </c>
      <c r="C12" s="15" t="s">
        <v>123</v>
      </c>
      <c r="D12" s="15" t="s">
        <v>99</v>
      </c>
      <c r="E12" s="11" t="n">
        <v>3.6E-006</v>
      </c>
      <c r="F12" s="20"/>
      <c r="G12" s="11" t="n">
        <v>0.0022</v>
      </c>
      <c r="H12" s="11" t="str">
        <f aca="false">IF(F12="","",E12*F12/2)</f>
        <v/>
      </c>
      <c r="I12" s="21" t="s">
        <v>100</v>
      </c>
      <c r="J12" s="22" t="s">
        <v>124</v>
      </c>
    </row>
    <row r="13" customFormat="false" ht="23.85" hidden="false" customHeight="false" outlineLevel="0" collapsed="false">
      <c r="A13" s="15" t="s">
        <v>121</v>
      </c>
      <c r="B13" s="15" t="s">
        <v>125</v>
      </c>
      <c r="C13" s="15" t="s">
        <v>126</v>
      </c>
      <c r="D13" s="15" t="s">
        <v>99</v>
      </c>
      <c r="E13" s="11" t="n">
        <v>4.9E-005</v>
      </c>
      <c r="F13" s="20"/>
      <c r="G13" s="11" t="n">
        <v>0.0029</v>
      </c>
      <c r="H13" s="11" t="str">
        <f aca="false">IF(F13="","",E13*F13/2)</f>
        <v/>
      </c>
      <c r="I13" s="21" t="s">
        <v>100</v>
      </c>
      <c r="J13" s="22"/>
    </row>
    <row r="14" customFormat="false" ht="23.85" hidden="false" customHeight="false" outlineLevel="0" collapsed="false">
      <c r="A14" s="15" t="s">
        <v>127</v>
      </c>
      <c r="B14" s="15" t="s">
        <v>128</v>
      </c>
      <c r="C14" s="15" t="s">
        <v>129</v>
      </c>
      <c r="D14" s="15" t="s">
        <v>99</v>
      </c>
      <c r="E14" s="11" t="n">
        <v>4.4E-005</v>
      </c>
      <c r="F14" s="20"/>
      <c r="G14" s="11" t="n">
        <v>0.002</v>
      </c>
      <c r="H14" s="11" t="str">
        <f aca="false">IF(F14="","",E14*F14/2)</f>
        <v/>
      </c>
      <c r="I14" s="21" t="s">
        <v>100</v>
      </c>
      <c r="J14" s="22"/>
    </row>
    <row r="15" customFormat="false" ht="23.85" hidden="false" customHeight="false" outlineLevel="0" collapsed="false">
      <c r="A15" s="15" t="s">
        <v>127</v>
      </c>
      <c r="B15" s="15" t="s">
        <v>130</v>
      </c>
      <c r="C15" s="15" t="s">
        <v>131</v>
      </c>
      <c r="D15" s="15" t="s">
        <v>99</v>
      </c>
      <c r="E15" s="11" t="n">
        <v>2.8E-005</v>
      </c>
      <c r="F15" s="20"/>
      <c r="G15" s="11" t="n">
        <v>0</v>
      </c>
      <c r="H15" s="11" t="str">
        <f aca="false">IF(F15="","",E15*F15/2)</f>
        <v/>
      </c>
      <c r="I15" s="21" t="s">
        <v>100</v>
      </c>
      <c r="J15" s="22" t="s">
        <v>132</v>
      </c>
    </row>
    <row r="16" customFormat="false" ht="23.85" hidden="false" customHeight="false" outlineLevel="0" collapsed="false">
      <c r="A16" s="15" t="s">
        <v>127</v>
      </c>
      <c r="B16" s="15" t="s">
        <v>133</v>
      </c>
      <c r="C16" s="15" t="s">
        <v>134</v>
      </c>
      <c r="D16" s="15" t="s">
        <v>99</v>
      </c>
      <c r="E16" s="11" t="n">
        <v>3.2E-006</v>
      </c>
      <c r="F16" s="20"/>
      <c r="G16" s="11" t="n">
        <v>0.0022</v>
      </c>
      <c r="H16" s="11" t="str">
        <f aca="false">IF(F16="","",E16*F16/2)</f>
        <v/>
      </c>
      <c r="I16" s="21" t="s">
        <v>100</v>
      </c>
      <c r="J16" s="22"/>
    </row>
    <row r="17" customFormat="false" ht="23.85" hidden="false" customHeight="false" outlineLevel="0" collapsed="false">
      <c r="A17" s="15" t="s">
        <v>127</v>
      </c>
      <c r="B17" s="15" t="s">
        <v>135</v>
      </c>
      <c r="C17" s="15" t="s">
        <v>74</v>
      </c>
      <c r="D17" s="15" t="s">
        <v>99</v>
      </c>
      <c r="E17" s="11" t="n">
        <v>1.7E-006</v>
      </c>
      <c r="F17" s="20"/>
      <c r="G17" s="11" t="n">
        <v>0.00022</v>
      </c>
      <c r="H17" s="11" t="str">
        <f aca="false">IF(F17="","",E17*F17/2)</f>
        <v/>
      </c>
      <c r="I17" s="21" t="s">
        <v>100</v>
      </c>
      <c r="J17" s="22"/>
    </row>
    <row r="18" customFormat="false" ht="23.85" hidden="false" customHeight="false" outlineLevel="0" collapsed="false">
      <c r="A18" s="15" t="s">
        <v>136</v>
      </c>
      <c r="B18" s="15" t="s">
        <v>137</v>
      </c>
      <c r="C18" s="15" t="s">
        <v>136</v>
      </c>
      <c r="D18" s="15" t="s">
        <v>138</v>
      </c>
      <c r="E18" s="11"/>
      <c r="F18" s="20"/>
      <c r="G18" s="11" t="n">
        <v>0.0001</v>
      </c>
      <c r="H18" s="11" t="str">
        <f aca="false">IF(F18="","",E18*F18/2)</f>
        <v/>
      </c>
      <c r="I18" s="21" t="s">
        <v>100</v>
      </c>
      <c r="J18" s="22"/>
    </row>
    <row r="19" customFormat="false" ht="23.85" hidden="false" customHeight="false" outlineLevel="0" collapsed="false">
      <c r="A19" s="15" t="s">
        <v>136</v>
      </c>
      <c r="B19" s="15" t="s">
        <v>139</v>
      </c>
      <c r="C19" s="15" t="s">
        <v>136</v>
      </c>
      <c r="D19" s="15" t="s">
        <v>140</v>
      </c>
      <c r="E19" s="11"/>
      <c r="F19" s="20"/>
      <c r="G19" s="11" t="n">
        <v>0.3</v>
      </c>
      <c r="H19" s="11" t="str">
        <f aca="false">IF(F19="","",E19*F19/2)</f>
        <v/>
      </c>
      <c r="I19" s="21" t="s">
        <v>100</v>
      </c>
      <c r="J19" s="22"/>
    </row>
    <row r="20" customFormat="false" ht="23.85" hidden="false" customHeight="false" outlineLevel="0" collapsed="false">
      <c r="A20" s="15" t="s">
        <v>136</v>
      </c>
      <c r="B20" s="15" t="s">
        <v>141</v>
      </c>
      <c r="C20" s="15" t="s">
        <v>136</v>
      </c>
      <c r="D20" s="15" t="s">
        <v>142</v>
      </c>
      <c r="E20" s="11"/>
      <c r="F20" s="20"/>
      <c r="G20" s="11" t="n">
        <v>0.006</v>
      </c>
      <c r="H20" s="11" t="str">
        <f aca="false">IF(F20="","",E20*F20/2)</f>
        <v/>
      </c>
      <c r="I20" s="21" t="s">
        <v>100</v>
      </c>
      <c r="J20" s="22"/>
    </row>
    <row r="21" customFormat="false" ht="23.85" hidden="false" customHeight="false" outlineLevel="0" collapsed="false">
      <c r="A21" s="15" t="s">
        <v>136</v>
      </c>
      <c r="B21" s="15" t="s">
        <v>143</v>
      </c>
      <c r="C21" s="15" t="s">
        <v>136</v>
      </c>
      <c r="D21" s="15" t="s">
        <v>144</v>
      </c>
      <c r="E21" s="11"/>
      <c r="F21" s="20"/>
      <c r="G21" s="11" t="n">
        <v>0.0003</v>
      </c>
      <c r="H21" s="11" t="str">
        <f aca="false">IF(F21="","",E21*F21/2)</f>
        <v/>
      </c>
      <c r="I21" s="21" t="s">
        <v>100</v>
      </c>
      <c r="J21" s="22"/>
    </row>
    <row r="22" customFormat="false" ht="15" hidden="false" customHeight="false" outlineLevel="0" collapsed="false">
      <c r="A22" s="23"/>
      <c r="B22" s="23"/>
      <c r="C22" s="23"/>
      <c r="D22" s="23"/>
      <c r="E22" s="23"/>
      <c r="F22" s="23"/>
      <c r="G22" s="23"/>
      <c r="H22" s="24"/>
      <c r="I22" s="24"/>
      <c r="J22" s="24"/>
    </row>
    <row r="23" customFormat="false" ht="15" hidden="false" customHeight="false" outlineLevel="0" collapsed="false">
      <c r="A23" s="23"/>
      <c r="B23" s="23"/>
      <c r="C23" s="23"/>
      <c r="D23" s="23"/>
      <c r="E23" s="23"/>
      <c r="F23" s="23"/>
      <c r="G23" s="23"/>
      <c r="H23" s="24"/>
      <c r="I23" s="24"/>
      <c r="J23" s="24"/>
    </row>
    <row r="24" customFormat="false" ht="15" hidden="false" customHeight="false" outlineLevel="0" collapsed="false">
      <c r="A24" s="23"/>
      <c r="B24" s="23"/>
      <c r="C24" s="23"/>
      <c r="D24" s="23"/>
      <c r="E24" s="23"/>
      <c r="F24" s="23"/>
      <c r="G24" s="23"/>
      <c r="H24" s="24"/>
      <c r="I24" s="24"/>
      <c r="J24" s="24"/>
    </row>
    <row r="25" customFormat="false" ht="15" hidden="false" customHeight="false" outlineLevel="0" collapsed="false">
      <c r="A25" s="23"/>
      <c r="B25" s="23"/>
      <c r="C25" s="23"/>
      <c r="D25" s="23"/>
      <c r="E25" s="23"/>
      <c r="F25" s="23"/>
      <c r="G25" s="23"/>
      <c r="H25" s="24"/>
      <c r="I25" s="24"/>
      <c r="J25" s="24"/>
    </row>
    <row r="26" customFormat="false" ht="15" hidden="false" customHeight="false" outlineLevel="0" collapsed="false">
      <c r="A26" s="23"/>
      <c r="B26" s="23"/>
      <c r="C26" s="23"/>
      <c r="D26" s="23"/>
      <c r="E26" s="23"/>
      <c r="F26" s="23"/>
      <c r="G26" s="23"/>
      <c r="H26" s="24"/>
      <c r="I26" s="24"/>
      <c r="J26" s="24"/>
    </row>
    <row r="27" customFormat="false" ht="15" hidden="false" customHeight="false" outlineLevel="0" collapsed="false">
      <c r="A27" s="23"/>
      <c r="B27" s="23"/>
      <c r="C27" s="23"/>
      <c r="D27" s="23"/>
      <c r="E27" s="23"/>
      <c r="F27" s="23"/>
      <c r="G27" s="23"/>
      <c r="H27" s="24"/>
      <c r="I27" s="24"/>
      <c r="J27" s="24"/>
    </row>
    <row r="28" customFormat="false" ht="15" hidden="false" customHeight="false" outlineLevel="0" collapsed="false">
      <c r="A28" s="2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8" min="3" style="0" width="22"/>
    <col collapsed="false" customWidth="true" hidden="false" outlineLevel="0" max="14" min="9" style="0" width="11"/>
    <col collapsed="false" customWidth="true" hidden="false" outlineLevel="0" max="15" min="15" style="0" width="8"/>
    <col collapsed="false" customWidth="true" hidden="false" outlineLevel="0" max="17" min="16" style="0" width="12"/>
    <col collapsed="false" customWidth="true" hidden="false" outlineLevel="0" max="18" min="18" style="0" width="7"/>
    <col collapsed="false" customWidth="true" hidden="false" outlineLevel="0" max="20" min="19" style="0" width="12"/>
    <col collapsed="false" customWidth="true" hidden="false" outlineLevel="0" max="21" min="21" style="0" width="15"/>
  </cols>
  <sheetData>
    <row r="1" customFormat="false" ht="17.35" hidden="false" customHeight="false" outlineLevel="0" collapsed="false">
      <c r="A1" s="18" t="s">
        <v>146</v>
      </c>
    </row>
    <row r="2" customFormat="false" ht="15" hidden="false" customHeight="false" outlineLevel="0" collapsed="false">
      <c r="A2" s="2" t="s">
        <v>147</v>
      </c>
    </row>
    <row r="4" customFormat="false" ht="15" hidden="false" customHeight="false" outlineLevel="0" collapsed="false">
      <c r="B4" s="8" t="s">
        <v>148</v>
      </c>
    </row>
    <row r="5" customFormat="false" ht="25.35" hidden="false" customHeight="false" outlineLevel="0" collapsed="false">
      <c r="B5" s="15" t="s">
        <v>149</v>
      </c>
      <c r="C5" s="25" t="n">
        <v>8760</v>
      </c>
      <c r="D5" s="12" t="s">
        <v>150</v>
      </c>
    </row>
    <row r="7" customFormat="false" ht="15" hidden="false" customHeight="false" outlineLevel="0" collapsed="false">
      <c r="B7" s="8" t="s">
        <v>151</v>
      </c>
    </row>
    <row r="8" customFormat="false" ht="15" hidden="false" customHeight="false" outlineLevel="0" collapsed="false">
      <c r="B8" s="26" t="s">
        <v>152</v>
      </c>
      <c r="C8" s="27" t="s">
        <v>153</v>
      </c>
      <c r="D8" s="26" t="s">
        <v>154</v>
      </c>
    </row>
    <row r="9" customFormat="false" ht="15" hidden="false" customHeight="false" outlineLevel="0" collapsed="false">
      <c r="B9" s="28" t="s">
        <v>106</v>
      </c>
      <c r="C9" s="11" t="n">
        <f aca="false">IFERROR(INDEX(確率DB!$E$4:$E$27,MATCH(B9,確率DB!$B$4:$B$27,0)),0)</f>
        <v>0.00012</v>
      </c>
      <c r="D9" s="23" t="s">
        <v>155</v>
      </c>
    </row>
    <row r="10" customFormat="false" ht="15" hidden="false" customHeight="false" outlineLevel="0" collapsed="false">
      <c r="B10" s="23" t="s">
        <v>156</v>
      </c>
      <c r="C10" s="11" t="n">
        <f aca="false">IFERROR(INDEX(確率DB!$E$4:$E$27,MATCH(B10,確率DB!$B$4:$B$27,0)),0)</f>
        <v>5.28E-010</v>
      </c>
      <c r="D10" s="28" t="s">
        <v>157</v>
      </c>
    </row>
    <row r="11" customFormat="false" ht="15" hidden="false" customHeight="false" outlineLevel="0" collapsed="false">
      <c r="B11" s="28" t="s">
        <v>122</v>
      </c>
      <c r="C11" s="11" t="n">
        <f aca="false">IFERROR(INDEX(確率DB!$E$4:$E$27,MATCH(B11,確率DB!$B$4:$B$27,0)),0)</f>
        <v>3.6E-006</v>
      </c>
      <c r="D11" s="28" t="s">
        <v>158</v>
      </c>
    </row>
    <row r="12" customFormat="false" ht="15" hidden="false" customHeight="false" outlineLevel="0" collapsed="false">
      <c r="B12" s="23"/>
      <c r="C12" s="11" t="n">
        <f aca="false">IFERROR(INDEX(確率DB!$E$4:$E$27,MATCH(B12,確率DB!$B$4:$B$27,0)),0)</f>
        <v>0</v>
      </c>
      <c r="D12" s="23"/>
    </row>
    <row r="13" customFormat="false" ht="15" hidden="false" customHeight="false" outlineLevel="0" collapsed="false">
      <c r="B13" s="29" t="s">
        <v>159</v>
      </c>
      <c r="C13" s="30" t="n">
        <f aca="false">SUM(C9:C12)</f>
        <v>0.000123600528</v>
      </c>
    </row>
    <row r="14" customFormat="false" ht="15" hidden="false" customHeight="false" outlineLevel="0" collapsed="false">
      <c r="B14" s="31" t="s">
        <v>160</v>
      </c>
      <c r="C14" s="30" t="n">
        <f aca="false">C13*$C$5</f>
        <v>1.08274062528</v>
      </c>
    </row>
    <row r="16" customFormat="false" ht="15" hidden="false" customHeight="false" outlineLevel="0" collapsed="false">
      <c r="B16" s="8" t="s">
        <v>161</v>
      </c>
    </row>
    <row r="17" customFormat="false" ht="15" hidden="false" customHeight="false" outlineLevel="0" collapsed="false">
      <c r="B17" s="2" t="s">
        <v>162</v>
      </c>
    </row>
    <row r="18" customFormat="false" ht="30" hidden="false" customHeight="true" outlineLevel="0" collapsed="false">
      <c r="A18" s="19" t="s">
        <v>163</v>
      </c>
      <c r="B18" s="19" t="s">
        <v>164</v>
      </c>
      <c r="C18" s="19" t="s">
        <v>165</v>
      </c>
      <c r="D18" s="19" t="s">
        <v>166</v>
      </c>
      <c r="E18" s="19" t="s">
        <v>167</v>
      </c>
      <c r="F18" s="19" t="s">
        <v>168</v>
      </c>
      <c r="G18" s="19" t="s">
        <v>169</v>
      </c>
      <c r="H18" s="19" t="s">
        <v>170</v>
      </c>
      <c r="I18" s="32" t="s">
        <v>171</v>
      </c>
      <c r="J18" s="32" t="s">
        <v>172</v>
      </c>
      <c r="K18" s="32" t="s">
        <v>173</v>
      </c>
      <c r="L18" s="32" t="s">
        <v>174</v>
      </c>
      <c r="M18" s="32" t="s">
        <v>175</v>
      </c>
      <c r="N18" s="32" t="s">
        <v>176</v>
      </c>
      <c r="O18" s="19" t="s">
        <v>177</v>
      </c>
      <c r="P18" s="19" t="s">
        <v>178</v>
      </c>
      <c r="Q18" s="19" t="s">
        <v>179</v>
      </c>
      <c r="R18" s="19" t="s">
        <v>180</v>
      </c>
      <c r="S18" s="19" t="s">
        <v>181</v>
      </c>
      <c r="T18" s="19" t="s">
        <v>182</v>
      </c>
      <c r="U18" s="19" t="s">
        <v>183</v>
      </c>
    </row>
    <row r="19" customFormat="false" ht="30" hidden="false" customHeight="true" outlineLevel="0" collapsed="false">
      <c r="A19" s="33" t="n">
        <v>1</v>
      </c>
      <c r="B19" s="34" t="s">
        <v>184</v>
      </c>
      <c r="C19" s="35" t="s">
        <v>108</v>
      </c>
      <c r="D19" s="34" t="s">
        <v>156</v>
      </c>
      <c r="E19" s="35" t="s">
        <v>115</v>
      </c>
      <c r="F19" s="35" t="s">
        <v>137</v>
      </c>
      <c r="G19" s="35" t="s">
        <v>185</v>
      </c>
      <c r="H19" s="34"/>
      <c r="I19" s="11" t="n">
        <f aca="false">IFERROR(INDEX(確率DB!$G$4:$G$27,MATCH(C19,確率DB!$B$4:$B$27,0)),0)</f>
        <v>0.0685</v>
      </c>
      <c r="J19" s="11" t="n">
        <f aca="false">IFERROR(INDEX(確率DB!$G$4:$G$27,MATCH(D19,確率DB!$B$4:$B$27,0)),0)</f>
        <v>1.94E-007</v>
      </c>
      <c r="K19" s="11" t="n">
        <f aca="false">IFERROR(INDEX(確率DB!$G$4:$G$27,MATCH(E19,確率DB!$B$4:$B$27,0)),0)</f>
        <v>9.3E-006</v>
      </c>
      <c r="L19" s="11" t="n">
        <f aca="false">IFERROR(INDEX(確率DB!$G$4:$G$27,MATCH(F19,確率DB!$B$4:$B$27,0)),0)</f>
        <v>0.0001</v>
      </c>
      <c r="M19" s="11" t="n">
        <f aca="false">IFERROR(INDEX(確率DB!$G$4:$G$27,MATCH(G19,確率DB!$B$4:$B$27,0)),0)</f>
        <v>0.3</v>
      </c>
      <c r="N19" s="11" t="n">
        <f aca="false">IFERROR(INDEX(確率DB!$G$4:$G$27,MATCH(H19,確率DB!$B$4:$B$27,0)),0)</f>
        <v>0</v>
      </c>
      <c r="O19" s="36" t="s">
        <v>186</v>
      </c>
      <c r="P19" s="11" t="n">
        <f aca="false">IF(O19="AND",IF(C19="",1,I19)*IF(D19="",1,J19)*IF(E19="",1,K19)*IF(F19="",1,L19)*IF(G19="",1,M19)*IF(H19="",1,N19),MIN(1,SUM(I19:N19)))</f>
        <v>0.368609494</v>
      </c>
      <c r="Q19" s="37"/>
      <c r="R19" s="36" t="n">
        <v>1</v>
      </c>
      <c r="S19" s="11" t="n">
        <f aca="false">IF($B19="",1,IF($R19=0,1,IF($Q19&lt;&gt;"",$Q19,$P19)))</f>
        <v>0.368609494</v>
      </c>
      <c r="T19" s="38" t="n">
        <f aca="false">IF(S19&gt;=1,"-",ROUND(1/S19,1))</f>
        <v>2.7</v>
      </c>
      <c r="U19" s="11" t="n">
        <f aca="false">$C$14*S19</f>
        <v>0.399108474017704</v>
      </c>
    </row>
    <row r="20" customFormat="false" ht="30" hidden="false" customHeight="true" outlineLevel="0" collapsed="false">
      <c r="A20" s="33" t="n">
        <v>2</v>
      </c>
      <c r="B20" s="34" t="s">
        <v>187</v>
      </c>
      <c r="C20" s="35" t="s">
        <v>110</v>
      </c>
      <c r="D20" s="35" t="s">
        <v>118</v>
      </c>
      <c r="E20" s="35" t="s">
        <v>122</v>
      </c>
      <c r="F20" s="34"/>
      <c r="G20" s="34"/>
      <c r="H20" s="34"/>
      <c r="I20" s="11" t="n">
        <f aca="false">IFERROR(INDEX(確率DB!$G$4:$G$27,MATCH(C20,確率DB!$B$4:$B$27,0)),0)</f>
        <v>0.0793</v>
      </c>
      <c r="J20" s="11" t="n">
        <f aca="false">IFERROR(INDEX(確率DB!$G$4:$G$27,MATCH(D20,確率DB!$B$4:$B$27,0)),0)</f>
        <v>0.00069</v>
      </c>
      <c r="K20" s="11" t="n">
        <f aca="false">IFERROR(INDEX(確率DB!$G$4:$G$27,MATCH(E20,確率DB!$B$4:$B$27,0)),0)</f>
        <v>0.0022</v>
      </c>
      <c r="L20" s="11" t="n">
        <f aca="false">IFERROR(INDEX(確率DB!$G$4:$G$27,MATCH(F20,確率DB!$B$4:$B$27,0)),0)</f>
        <v>0</v>
      </c>
      <c r="M20" s="11" t="n">
        <f aca="false">IFERROR(INDEX(確率DB!$G$4:$G$27,MATCH(G20,確率DB!$B$4:$B$27,0)),0)</f>
        <v>0</v>
      </c>
      <c r="N20" s="11" t="n">
        <f aca="false">IFERROR(INDEX(確率DB!$G$4:$G$27,MATCH(H20,確率DB!$B$4:$B$27,0)),0)</f>
        <v>0</v>
      </c>
      <c r="O20" s="36" t="s">
        <v>186</v>
      </c>
      <c r="P20" s="11" t="n">
        <f aca="false">IF(O20="AND",IF(C20="",1,I20)*IF(D20="",1,J20)*IF(E20="",1,K20)*IF(F20="",1,L20)*IF(G20="",1,M20)*IF(H20="",1,N20),MIN(1,SUM(I20:N20)))</f>
        <v>0.08219</v>
      </c>
      <c r="Q20" s="37"/>
      <c r="R20" s="36" t="n">
        <v>1</v>
      </c>
      <c r="S20" s="11" t="n">
        <f aca="false">IF($B20="",1,IF($R20=0,1,IF($Q20&lt;&gt;"",$Q20,$P20)))</f>
        <v>0.08219</v>
      </c>
      <c r="T20" s="38" t="n">
        <f aca="false">IF(S20&gt;=1,"-",ROUND(1/S20,1))</f>
        <v>12.2</v>
      </c>
      <c r="U20" s="11" t="n">
        <f aca="false">U19*S20</f>
        <v>0.0328027254795151</v>
      </c>
    </row>
    <row r="21" customFormat="false" ht="30" hidden="false" customHeight="true" outlineLevel="0" collapsed="false">
      <c r="A21" s="33" t="n">
        <v>3</v>
      </c>
      <c r="B21" s="34"/>
      <c r="C21" s="34"/>
      <c r="D21" s="34"/>
      <c r="E21" s="34"/>
      <c r="F21" s="34"/>
      <c r="G21" s="34"/>
      <c r="H21" s="34"/>
      <c r="I21" s="11" t="n">
        <f aca="false">IFERROR(INDEX(確率DB!$G$4:$G$27,MATCH(C21,確率DB!$B$4:$B$27,0)),0)</f>
        <v>0</v>
      </c>
      <c r="J21" s="11" t="n">
        <f aca="false">IFERROR(INDEX(確率DB!$G$4:$G$27,MATCH(D21,確率DB!$B$4:$B$27,0)),0)</f>
        <v>0</v>
      </c>
      <c r="K21" s="11" t="n">
        <f aca="false">IFERROR(INDEX(確率DB!$G$4:$G$27,MATCH(E21,確率DB!$B$4:$B$27,0)),0)</f>
        <v>0</v>
      </c>
      <c r="L21" s="11" t="n">
        <f aca="false">IFERROR(INDEX(確率DB!$G$4:$G$27,MATCH(F21,確率DB!$B$4:$B$27,0)),0)</f>
        <v>0</v>
      </c>
      <c r="M21" s="11" t="n">
        <f aca="false">IFERROR(INDEX(確率DB!$G$4:$G$27,MATCH(G21,確率DB!$B$4:$B$27,0)),0)</f>
        <v>0</v>
      </c>
      <c r="N21" s="11" t="n">
        <f aca="false">IFERROR(INDEX(確率DB!$G$4:$G$27,MATCH(H21,確率DB!$B$4:$B$27,0)),0)</f>
        <v>0</v>
      </c>
      <c r="O21" s="36" t="s">
        <v>186</v>
      </c>
      <c r="P21" s="11" t="n">
        <f aca="false">IF(O21="AND",IF(C21="",1,I21)*IF(D21="",1,J21)*IF(E21="",1,K21)*IF(F21="",1,L21)*IF(G21="",1,M21)*IF(H21="",1,N21),MIN(1,SUM(I21:N21)))</f>
        <v>0</v>
      </c>
      <c r="Q21" s="37"/>
      <c r="R21" s="36" t="n">
        <v>1</v>
      </c>
      <c r="S21" s="11" t="n">
        <f aca="false">IF($B21="",1,IF($R21=0,1,IF($Q21&lt;&gt;"",$Q21,$P21)))</f>
        <v>1</v>
      </c>
      <c r="T21" s="38" t="str">
        <f aca="false">IF(S21&gt;=1,"-",ROUND(1/S21,1))</f>
        <v>-</v>
      </c>
      <c r="U21" s="11" t="n">
        <f aca="false">U20*S21</f>
        <v>0.0328027254795151</v>
      </c>
    </row>
    <row r="22" customFormat="false" ht="30" hidden="false" customHeight="true" outlineLevel="0" collapsed="false">
      <c r="A22" s="33" t="n">
        <v>4</v>
      </c>
      <c r="B22" s="34"/>
      <c r="C22" s="34"/>
      <c r="D22" s="34"/>
      <c r="E22" s="34"/>
      <c r="F22" s="34"/>
      <c r="G22" s="34"/>
      <c r="H22" s="34"/>
      <c r="I22" s="11" t="n">
        <f aca="false">IFERROR(INDEX(確率DB!$G$4:$G$27,MATCH(C22,確率DB!$B$4:$B$27,0)),0)</f>
        <v>0</v>
      </c>
      <c r="J22" s="11" t="n">
        <f aca="false">IFERROR(INDEX(確率DB!$G$4:$G$27,MATCH(D22,確率DB!$B$4:$B$27,0)),0)</f>
        <v>0</v>
      </c>
      <c r="K22" s="11" t="n">
        <f aca="false">IFERROR(INDEX(確率DB!$G$4:$G$27,MATCH(E22,確率DB!$B$4:$B$27,0)),0)</f>
        <v>0</v>
      </c>
      <c r="L22" s="11" t="n">
        <f aca="false">IFERROR(INDEX(確率DB!$G$4:$G$27,MATCH(F22,確率DB!$B$4:$B$27,0)),0)</f>
        <v>0</v>
      </c>
      <c r="M22" s="11" t="n">
        <f aca="false">IFERROR(INDEX(確率DB!$G$4:$G$27,MATCH(G22,確率DB!$B$4:$B$27,0)),0)</f>
        <v>0</v>
      </c>
      <c r="N22" s="11" t="n">
        <f aca="false">IFERROR(INDEX(確率DB!$G$4:$G$27,MATCH(H22,確率DB!$B$4:$B$27,0)),0)</f>
        <v>0</v>
      </c>
      <c r="O22" s="36" t="s">
        <v>186</v>
      </c>
      <c r="P22" s="11" t="n">
        <f aca="false">IF(O22="AND",IF(C22="",1,I22)*IF(D22="",1,J22)*IF(E22="",1,K22)*IF(F22="",1,L22)*IF(G22="",1,M22)*IF(H22="",1,N22),MIN(1,SUM(I22:N22)))</f>
        <v>0</v>
      </c>
      <c r="Q22" s="37"/>
      <c r="R22" s="36" t="n">
        <v>1</v>
      </c>
      <c r="S22" s="11" t="n">
        <f aca="false">IF($B22="",1,IF($R22=0,1,IF($Q22&lt;&gt;"",$Q22,$P22)))</f>
        <v>1</v>
      </c>
      <c r="T22" s="38" t="str">
        <f aca="false">IF(S22&gt;=1,"-",ROUND(1/S22,1))</f>
        <v>-</v>
      </c>
      <c r="U22" s="11" t="n">
        <f aca="false">U21*S22</f>
        <v>0.0328027254795151</v>
      </c>
    </row>
    <row r="23" customFormat="false" ht="30" hidden="false" customHeight="true" outlineLevel="0" collapsed="false">
      <c r="A23" s="33" t="n">
        <v>5</v>
      </c>
      <c r="B23" s="34"/>
      <c r="C23" s="34"/>
      <c r="D23" s="34"/>
      <c r="E23" s="34"/>
      <c r="F23" s="34"/>
      <c r="G23" s="34"/>
      <c r="H23" s="34"/>
      <c r="I23" s="11" t="n">
        <f aca="false">IFERROR(INDEX(確率DB!$G$4:$G$27,MATCH(C23,確率DB!$B$4:$B$27,0)),0)</f>
        <v>0</v>
      </c>
      <c r="J23" s="11" t="n">
        <f aca="false">IFERROR(INDEX(確率DB!$G$4:$G$27,MATCH(D23,確率DB!$B$4:$B$27,0)),0)</f>
        <v>0</v>
      </c>
      <c r="K23" s="11" t="n">
        <f aca="false">IFERROR(INDEX(確率DB!$G$4:$G$27,MATCH(E23,確率DB!$B$4:$B$27,0)),0)</f>
        <v>0</v>
      </c>
      <c r="L23" s="11" t="n">
        <f aca="false">IFERROR(INDEX(確率DB!$G$4:$G$27,MATCH(F23,確率DB!$B$4:$B$27,0)),0)</f>
        <v>0</v>
      </c>
      <c r="M23" s="11" t="n">
        <f aca="false">IFERROR(INDEX(確率DB!$G$4:$G$27,MATCH(G23,確率DB!$B$4:$B$27,0)),0)</f>
        <v>0</v>
      </c>
      <c r="N23" s="11" t="n">
        <f aca="false">IFERROR(INDEX(確率DB!$G$4:$G$27,MATCH(H23,確率DB!$B$4:$B$27,0)),0)</f>
        <v>0</v>
      </c>
      <c r="O23" s="36" t="s">
        <v>186</v>
      </c>
      <c r="P23" s="11" t="n">
        <f aca="false">IF(O23="AND",IF(C23="",1,I23)*IF(D23="",1,J23)*IF(E23="",1,K23)*IF(F23="",1,L23)*IF(G23="",1,M23)*IF(H23="",1,N23),MIN(1,SUM(I23:N23)))</f>
        <v>0</v>
      </c>
      <c r="Q23" s="37"/>
      <c r="R23" s="36" t="n">
        <v>1</v>
      </c>
      <c r="S23" s="11" t="n">
        <f aca="false">IF($B23="",1,IF($R23=0,1,IF($Q23&lt;&gt;"",$Q23,$P23)))</f>
        <v>1</v>
      </c>
      <c r="T23" s="38" t="str">
        <f aca="false">IF(S23&gt;=1,"-",ROUND(1/S23,1))</f>
        <v>-</v>
      </c>
      <c r="U23" s="11" t="n">
        <f aca="false">U22*S23</f>
        <v>0.0328027254795151</v>
      </c>
    </row>
    <row r="24" customFormat="false" ht="30" hidden="false" customHeight="true" outlineLevel="0" collapsed="false">
      <c r="A24" s="33" t="n">
        <v>6</v>
      </c>
      <c r="B24" s="34"/>
      <c r="C24" s="34"/>
      <c r="D24" s="34"/>
      <c r="E24" s="34"/>
      <c r="F24" s="34"/>
      <c r="G24" s="34"/>
      <c r="H24" s="34"/>
      <c r="I24" s="11" t="n">
        <f aca="false">IFERROR(INDEX(確率DB!$G$4:$G$27,MATCH(C24,確率DB!$B$4:$B$27,0)),0)</f>
        <v>0</v>
      </c>
      <c r="J24" s="11" t="n">
        <f aca="false">IFERROR(INDEX(確率DB!$G$4:$G$27,MATCH(D24,確率DB!$B$4:$B$27,0)),0)</f>
        <v>0</v>
      </c>
      <c r="K24" s="11" t="n">
        <f aca="false">IFERROR(INDEX(確率DB!$G$4:$G$27,MATCH(E24,確率DB!$B$4:$B$27,0)),0)</f>
        <v>0</v>
      </c>
      <c r="L24" s="11" t="n">
        <f aca="false">IFERROR(INDEX(確率DB!$G$4:$G$27,MATCH(F24,確率DB!$B$4:$B$27,0)),0)</f>
        <v>0</v>
      </c>
      <c r="M24" s="11" t="n">
        <f aca="false">IFERROR(INDEX(確率DB!$G$4:$G$27,MATCH(G24,確率DB!$B$4:$B$27,0)),0)</f>
        <v>0</v>
      </c>
      <c r="N24" s="11" t="n">
        <f aca="false">IFERROR(INDEX(確率DB!$G$4:$G$27,MATCH(H24,確率DB!$B$4:$B$27,0)),0)</f>
        <v>0</v>
      </c>
      <c r="O24" s="36" t="s">
        <v>186</v>
      </c>
      <c r="P24" s="11" t="n">
        <f aca="false">IF(O24="AND",IF(C24="",1,I24)*IF(D24="",1,J24)*IF(E24="",1,K24)*IF(F24="",1,L24)*IF(G24="",1,M24)*IF(H24="",1,N24),MIN(1,SUM(I24:N24)))</f>
        <v>0</v>
      </c>
      <c r="Q24" s="37"/>
      <c r="R24" s="36" t="n">
        <v>1</v>
      </c>
      <c r="S24" s="11" t="n">
        <f aca="false">IF($B24="",1,IF($R24=0,1,IF($Q24&lt;&gt;"",$Q24,$P24)))</f>
        <v>1</v>
      </c>
      <c r="T24" s="38" t="str">
        <f aca="false">IF(S24&gt;=1,"-",ROUND(1/S24,1))</f>
        <v>-</v>
      </c>
      <c r="U24" s="11" t="n">
        <f aca="false">U23*S24</f>
        <v>0.0328027254795151</v>
      </c>
    </row>
    <row r="25" customFormat="false" ht="30" hidden="false" customHeight="true" outlineLevel="0" collapsed="false">
      <c r="A25" s="33" t="n">
        <v>7</v>
      </c>
      <c r="B25" s="34"/>
      <c r="C25" s="34"/>
      <c r="D25" s="34"/>
      <c r="E25" s="34"/>
      <c r="F25" s="34"/>
      <c r="G25" s="34"/>
      <c r="H25" s="34"/>
      <c r="I25" s="11" t="n">
        <f aca="false">IFERROR(INDEX(確率DB!$G$4:$G$27,MATCH(C25,確率DB!$B$4:$B$27,0)),0)</f>
        <v>0</v>
      </c>
      <c r="J25" s="11" t="n">
        <f aca="false">IFERROR(INDEX(確率DB!$G$4:$G$27,MATCH(D25,確率DB!$B$4:$B$27,0)),0)</f>
        <v>0</v>
      </c>
      <c r="K25" s="11" t="n">
        <f aca="false">IFERROR(INDEX(確率DB!$G$4:$G$27,MATCH(E25,確率DB!$B$4:$B$27,0)),0)</f>
        <v>0</v>
      </c>
      <c r="L25" s="11" t="n">
        <f aca="false">IFERROR(INDEX(確率DB!$G$4:$G$27,MATCH(F25,確率DB!$B$4:$B$27,0)),0)</f>
        <v>0</v>
      </c>
      <c r="M25" s="11" t="n">
        <f aca="false">IFERROR(INDEX(確率DB!$G$4:$G$27,MATCH(G25,確率DB!$B$4:$B$27,0)),0)</f>
        <v>0</v>
      </c>
      <c r="N25" s="11" t="n">
        <f aca="false">IFERROR(INDEX(確率DB!$G$4:$G$27,MATCH(H25,確率DB!$B$4:$B$27,0)),0)</f>
        <v>0</v>
      </c>
      <c r="O25" s="36" t="s">
        <v>186</v>
      </c>
      <c r="P25" s="11" t="n">
        <f aca="false">IF(O25="AND",IF(C25="",1,I25)*IF(D25="",1,J25)*IF(E25="",1,K25)*IF(F25="",1,L25)*IF(G25="",1,M25)*IF(H25="",1,N25),MIN(1,SUM(I25:N25)))</f>
        <v>0</v>
      </c>
      <c r="Q25" s="37"/>
      <c r="R25" s="36" t="n">
        <v>1</v>
      </c>
      <c r="S25" s="11" t="n">
        <f aca="false">IF($B25="",1,IF($R25=0,1,IF($Q25&lt;&gt;"",$Q25,$P25)))</f>
        <v>1</v>
      </c>
      <c r="T25" s="38" t="str">
        <f aca="false">IF(S25&gt;=1,"-",ROUND(1/S25,1))</f>
        <v>-</v>
      </c>
      <c r="U25" s="11" t="n">
        <f aca="false">U24*S25</f>
        <v>0.0328027254795151</v>
      </c>
    </row>
    <row r="26" customFormat="false" ht="30" hidden="false" customHeight="true" outlineLevel="0" collapsed="false">
      <c r="A26" s="33" t="n">
        <v>8</v>
      </c>
      <c r="B26" s="34"/>
      <c r="C26" s="34"/>
      <c r="D26" s="34"/>
      <c r="E26" s="34"/>
      <c r="F26" s="34"/>
      <c r="G26" s="34"/>
      <c r="H26" s="34"/>
      <c r="I26" s="11" t="n">
        <f aca="false">IFERROR(INDEX(確率DB!$G$4:$G$27,MATCH(C26,確率DB!$B$4:$B$27,0)),0)</f>
        <v>0</v>
      </c>
      <c r="J26" s="11" t="n">
        <f aca="false">IFERROR(INDEX(確率DB!$G$4:$G$27,MATCH(D26,確率DB!$B$4:$B$27,0)),0)</f>
        <v>0</v>
      </c>
      <c r="K26" s="11" t="n">
        <f aca="false">IFERROR(INDEX(確率DB!$G$4:$G$27,MATCH(E26,確率DB!$B$4:$B$27,0)),0)</f>
        <v>0</v>
      </c>
      <c r="L26" s="11" t="n">
        <f aca="false">IFERROR(INDEX(確率DB!$G$4:$G$27,MATCH(F26,確率DB!$B$4:$B$27,0)),0)</f>
        <v>0</v>
      </c>
      <c r="M26" s="11" t="n">
        <f aca="false">IFERROR(INDEX(確率DB!$G$4:$G$27,MATCH(G26,確率DB!$B$4:$B$27,0)),0)</f>
        <v>0</v>
      </c>
      <c r="N26" s="11" t="n">
        <f aca="false">IFERROR(INDEX(確率DB!$G$4:$G$27,MATCH(H26,確率DB!$B$4:$B$27,0)),0)</f>
        <v>0</v>
      </c>
      <c r="O26" s="36" t="s">
        <v>186</v>
      </c>
      <c r="P26" s="11" t="n">
        <f aca="false">IF(O26="AND",IF(C26="",1,I26)*IF(D26="",1,J26)*IF(E26="",1,K26)*IF(F26="",1,L26)*IF(G26="",1,M26)*IF(H26="",1,N26),MIN(1,SUM(I26:N26)))</f>
        <v>0</v>
      </c>
      <c r="Q26" s="37"/>
      <c r="R26" s="36" t="n">
        <v>1</v>
      </c>
      <c r="S26" s="11" t="n">
        <f aca="false">IF($B26="",1,IF($R26=0,1,IF($Q26&lt;&gt;"",$Q26,$P26)))</f>
        <v>1</v>
      </c>
      <c r="T26" s="38" t="str">
        <f aca="false">IF(S26&gt;=1,"-",ROUND(1/S26,1))</f>
        <v>-</v>
      </c>
      <c r="U26" s="11" t="n">
        <f aca="false">U25*S26</f>
        <v>0.0328027254795151</v>
      </c>
    </row>
    <row r="28" customFormat="false" ht="15" hidden="false" customHeight="false" outlineLevel="0" collapsed="false">
      <c r="B28" s="8" t="s">
        <v>188</v>
      </c>
    </row>
    <row r="29" customFormat="false" ht="15" hidden="false" customHeight="false" outlineLevel="0" collapsed="false">
      <c r="B29" s="31" t="s">
        <v>189</v>
      </c>
      <c r="C29" s="30" t="n">
        <f aca="false">U26</f>
        <v>0.0328027254795151</v>
      </c>
    </row>
    <row r="30" customFormat="false" ht="15" hidden="false" customHeight="false" outlineLevel="0" collapsed="false">
      <c r="B30" s="31" t="s">
        <v>190</v>
      </c>
      <c r="C30" s="30" t="n">
        <f aca="false">C29/$C$5</f>
        <v>3.74460336524145E-006</v>
      </c>
    </row>
    <row r="31" customFormat="false" ht="37.3" hidden="false" customHeight="false" outlineLevel="0" collapsed="false">
      <c r="B31" s="15" t="s">
        <v>191</v>
      </c>
      <c r="C31" s="36" t="s">
        <v>192</v>
      </c>
      <c r="D31" s="39" t="s">
        <v>193</v>
      </c>
    </row>
    <row r="32" customFormat="false" ht="15" hidden="false" customHeight="false" outlineLevel="0" collapsed="false">
      <c r="B32" s="15" t="s">
        <v>194</v>
      </c>
      <c r="C32" s="11" t="n">
        <f aca="false">IF(C31="/hr",C30,C29)</f>
        <v>3.74460336524145E-006</v>
      </c>
    </row>
    <row r="33" customFormat="false" ht="37.3" hidden="false" customHeight="false" outlineLevel="0" collapsed="false">
      <c r="B33" s="15" t="s">
        <v>195</v>
      </c>
      <c r="C33" s="40" t="str">
        <f aca="false">IF(C32&gt;=IF($C$31="/hr",リスクマトリックス!$E$6,リスクマトリックス!$D$6),"E",IF(C32&gt;=IF($C$31="/hr",リスクマトリックス!$E$7,リスクマトリックス!$D$7),"D",IF(C32&gt;=IF($C$31="/hr",リスクマトリックス!$E$8,リスクマトリックス!$D$8),"C",IF(C32&gt;=IF($C$31="/hr",リスクマトリックス!$E$9,リスクマトリックス!$D$9),"B","A"))))</f>
        <v>D</v>
      </c>
      <c r="D33" s="12" t="s">
        <v>196</v>
      </c>
    </row>
    <row r="34" customFormat="false" ht="15" hidden="false" customHeight="false" outlineLevel="0" collapsed="false">
      <c r="B34" s="15" t="s">
        <v>197</v>
      </c>
      <c r="C34" s="36" t="n">
        <v>2</v>
      </c>
    </row>
    <row r="35" customFormat="false" ht="15" hidden="false" customHeight="false" outlineLevel="0" collapsed="false">
      <c r="B35" s="15" t="s">
        <v>198</v>
      </c>
      <c r="C35" s="40" t="str">
        <f aca="false">INDEX(リスクマトリックス!$H$18:$K$22,MATCH(C33,リスクマトリックス!$G$18:$G$22,0),C34)</f>
        <v>赤</v>
      </c>
    </row>
    <row r="37" customFormat="false" ht="15" hidden="false" customHeight="false" outlineLevel="0" collapsed="false">
      <c r="B37" s="41" t="s">
        <v>199</v>
      </c>
    </row>
    <row r="38" customFormat="false" ht="37.3" hidden="false" customHeight="false" outlineLevel="0" collapsed="false">
      <c r="B38" s="15" t="s">
        <v>200</v>
      </c>
      <c r="C38" s="37"/>
      <c r="D38" s="12" t="s">
        <v>201</v>
      </c>
    </row>
    <row r="39" customFormat="false" ht="15" hidden="false" customHeight="false" outlineLevel="0" collapsed="false">
      <c r="B39" s="15" t="s">
        <v>202</v>
      </c>
      <c r="C39" s="14" t="str">
        <f aca="false">IF(C38="","",C38/C32)</f>
        <v/>
      </c>
    </row>
  </sheetData>
  <dataValidations count="3">
    <dataValidation allowBlank="true" errorStyle="stop" operator="between" showDropDown="false" showErrorMessage="false" showInputMessage="false" sqref="B9:B12 C19:H26" type="list">
      <formula1>DB_KEYS</formula1>
      <formula2>0</formula2>
    </dataValidation>
    <dataValidation allowBlank="true" errorStyle="stop" operator="between" showDropDown="false" showErrorMessage="false" showInputMessage="false" sqref="O19:O26" type="list">
      <formula1>"OR,AND"</formula1>
      <formula2>0</formula2>
    </dataValidation>
    <dataValidation allowBlank="true" errorStyle="stop" operator="between" showDropDown="false" showErrorMessage="false" showInputMessage="false" sqref="C31" type="list">
      <formula1>"/hr,/年"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8" min="4" style="0" width="24"/>
    <col collapsed="false" customWidth="true" hidden="false" outlineLevel="0" max="13" min="9" style="0" width="11"/>
    <col collapsed="false" customWidth="true" hidden="false" outlineLevel="0" max="14" min="14" style="0" width="14"/>
    <col collapsed="false" customWidth="true" hidden="false" outlineLevel="0" max="15" min="15" style="0" width="44"/>
  </cols>
  <sheetData>
    <row r="1" customFormat="false" ht="19.4" hidden="false" customHeight="false" outlineLevel="0" collapsed="false">
      <c r="A1" s="1" t="s">
        <v>203</v>
      </c>
    </row>
    <row r="2" customFormat="false" ht="15" hidden="false" customHeight="false" outlineLevel="0" collapsed="false">
      <c r="A2" s="2" t="s">
        <v>204</v>
      </c>
    </row>
    <row r="4" customFormat="false" ht="15" hidden="false" customHeight="false" outlineLevel="0" collapsed="false">
      <c r="B4" s="41" t="s">
        <v>205</v>
      </c>
    </row>
    <row r="5" customFormat="false" ht="102.95" hidden="false" customHeight="false" outlineLevel="0" collapsed="false">
      <c r="C5" s="42" t="s">
        <v>206</v>
      </c>
    </row>
    <row r="6" customFormat="false" ht="52.2" hidden="false" customHeight="false" outlineLevel="0" collapsed="false">
      <c r="C6" s="42" t="s">
        <v>207</v>
      </c>
    </row>
    <row r="7" customFormat="false" ht="64.9" hidden="false" customHeight="false" outlineLevel="0" collapsed="false">
      <c r="C7" s="42" t="s">
        <v>208</v>
      </c>
    </row>
    <row r="8" customFormat="false" ht="90.25" hidden="false" customHeight="false" outlineLevel="0" collapsed="false">
      <c r="C8" s="42" t="s">
        <v>209</v>
      </c>
    </row>
    <row r="9" customFormat="false" ht="90.25" hidden="false" customHeight="false" outlineLevel="0" collapsed="false">
      <c r="C9" s="42" t="s">
        <v>210</v>
      </c>
    </row>
    <row r="11" customFormat="false" ht="15" hidden="false" customHeight="false" outlineLevel="0" collapsed="false">
      <c r="B11" s="41" t="s">
        <v>211</v>
      </c>
    </row>
    <row r="12" customFormat="false" ht="15" hidden="false" customHeight="false" outlineLevel="0" collapsed="false">
      <c r="C12" s="43" t="s">
        <v>212</v>
      </c>
    </row>
    <row r="13" customFormat="false" ht="15" hidden="false" customHeight="false" outlineLevel="0" collapsed="false">
      <c r="C13" s="43" t="s">
        <v>213</v>
      </c>
    </row>
    <row r="14" customFormat="false" ht="15" hidden="false" customHeight="false" outlineLevel="0" collapsed="false">
      <c r="C14" s="43" t="s">
        <v>214</v>
      </c>
    </row>
    <row r="15" customFormat="false" ht="15" hidden="false" customHeight="false" outlineLevel="0" collapsed="false">
      <c r="C15" s="43" t="s">
        <v>215</v>
      </c>
    </row>
    <row r="16" customFormat="false" ht="15" hidden="false" customHeight="false" outlineLevel="0" collapsed="false">
      <c r="C16" s="43" t="s">
        <v>216</v>
      </c>
    </row>
    <row r="17" customFormat="false" ht="27.75" hidden="false" customHeight="true" outlineLevel="0" collapsed="false">
      <c r="C17" s="39" t="s">
        <v>217</v>
      </c>
    </row>
    <row r="19" customFormat="false" ht="15" hidden="false" customHeight="false" outlineLevel="0" collapsed="false">
      <c r="B19" s="41" t="s">
        <v>218</v>
      </c>
    </row>
    <row r="20" customFormat="false" ht="15" hidden="false" customHeight="false" outlineLevel="0" collapsed="false">
      <c r="A20" s="32" t="s">
        <v>219</v>
      </c>
      <c r="B20" s="19" t="s">
        <v>220</v>
      </c>
      <c r="C20" s="32" t="s">
        <v>153</v>
      </c>
      <c r="D20" s="19" t="s">
        <v>221</v>
      </c>
      <c r="E20" s="19" t="s">
        <v>222</v>
      </c>
      <c r="F20" s="19" t="s">
        <v>223</v>
      </c>
      <c r="G20" s="19" t="s">
        <v>224</v>
      </c>
      <c r="H20" s="19" t="s">
        <v>225</v>
      </c>
      <c r="I20" s="32" t="s">
        <v>171</v>
      </c>
      <c r="J20" s="32" t="s">
        <v>172</v>
      </c>
      <c r="K20" s="32" t="s">
        <v>173</v>
      </c>
      <c r="L20" s="32" t="s">
        <v>174</v>
      </c>
      <c r="M20" s="32" t="s">
        <v>175</v>
      </c>
      <c r="N20" s="19" t="s">
        <v>226</v>
      </c>
      <c r="O20" s="19" t="s">
        <v>154</v>
      </c>
    </row>
    <row r="21" customFormat="false" ht="15" hidden="false" customHeight="false" outlineLevel="0" collapsed="false">
      <c r="A21" s="33" t="n">
        <v>1</v>
      </c>
      <c r="B21" s="5" t="s">
        <v>106</v>
      </c>
      <c r="C21" s="11" t="n">
        <f aca="false">IF(B21="",0,IFERROR(INDEX(確率DB!$E$4:$E$27,MATCH(B21,確率DB!$B$4:$B$27,0)),0))</f>
        <v>0.00012</v>
      </c>
      <c r="D21" s="5" t="s">
        <v>108</v>
      </c>
      <c r="E21" s="5" t="s">
        <v>110</v>
      </c>
      <c r="F21" s="5"/>
      <c r="G21" s="5"/>
      <c r="H21" s="5"/>
      <c r="I21" s="11" t="n">
        <f aca="false">IF(D21="",1,IFERROR(INDEX(確率DB!$G$4:$G$27,MATCH(D21,確率DB!$B$4:$B$27,0)),0))</f>
        <v>0.0685</v>
      </c>
      <c r="J21" s="11" t="n">
        <f aca="false">IF(E21="",1,IFERROR(INDEX(確率DB!$G$4:$G$27,MATCH(E21,確率DB!$B$4:$B$27,0)),0))</f>
        <v>0.0793</v>
      </c>
      <c r="K21" s="11" t="n">
        <f aca="false">IF(F21="",1,IFERROR(INDEX(確率DB!$G$4:$G$27,MATCH(F21,確率DB!$B$4:$B$27,0)),0))</f>
        <v>1</v>
      </c>
      <c r="L21" s="11" t="n">
        <f aca="false">IF(G21="",1,IFERROR(INDEX(確率DB!$G$4:$G$27,MATCH(G21,確率DB!$B$4:$B$27,0)),0))</f>
        <v>1</v>
      </c>
      <c r="M21" s="11" t="n">
        <f aca="false">IF(H21="",1,IFERROR(INDEX(確率DB!$G$4:$G$27,MATCH(H21,確率DB!$B$4:$B$27,0)),0))</f>
        <v>1</v>
      </c>
      <c r="N21" s="11" t="n">
        <f aca="false">C21*I21*J21*K21*L21*M21</f>
        <v>6.51846E-007</v>
      </c>
      <c r="O21" s="44" t="s">
        <v>227</v>
      </c>
    </row>
    <row r="22" customFormat="false" ht="15" hidden="false" customHeight="false" outlineLevel="0" collapsed="false">
      <c r="A22" s="33" t="n">
        <v>2</v>
      </c>
      <c r="B22" s="5" t="s">
        <v>106</v>
      </c>
      <c r="C22" s="11" t="n">
        <f aca="false">IF(B22="",0,IFERROR(INDEX(確率DB!$E$4:$E$27,MATCH(B22,確率DB!$B$4:$B$27,0)),0))</f>
        <v>0.00012</v>
      </c>
      <c r="D22" s="5" t="s">
        <v>108</v>
      </c>
      <c r="E22" s="5" t="s">
        <v>118</v>
      </c>
      <c r="F22" s="5"/>
      <c r="G22" s="5"/>
      <c r="H22" s="5"/>
      <c r="I22" s="11" t="n">
        <f aca="false">IF(D22="",1,IFERROR(INDEX(確率DB!$G$4:$G$27,MATCH(D22,確率DB!$B$4:$B$27,0)),0))</f>
        <v>0.0685</v>
      </c>
      <c r="J22" s="11" t="n">
        <f aca="false">IF(E22="",1,IFERROR(INDEX(確率DB!$G$4:$G$27,MATCH(E22,確率DB!$B$4:$B$27,0)),0))</f>
        <v>0.00069</v>
      </c>
      <c r="K22" s="11" t="n">
        <f aca="false">IF(F22="",1,IFERROR(INDEX(確率DB!$G$4:$G$27,MATCH(F22,確率DB!$B$4:$B$27,0)),0))</f>
        <v>1</v>
      </c>
      <c r="L22" s="11" t="n">
        <f aca="false">IF(G22="",1,IFERROR(INDEX(確率DB!$G$4:$G$27,MATCH(G22,確率DB!$B$4:$B$27,0)),0))</f>
        <v>1</v>
      </c>
      <c r="M22" s="11" t="n">
        <f aca="false">IF(H22="",1,IFERROR(INDEX(確率DB!$G$4:$G$27,MATCH(H22,確率DB!$B$4:$B$27,0)),0))</f>
        <v>1</v>
      </c>
      <c r="N22" s="11" t="n">
        <f aca="false">C22*I22*J22*K22*L22*M22</f>
        <v>5.6718E-009</v>
      </c>
      <c r="O22" s="44" t="s">
        <v>227</v>
      </c>
    </row>
    <row r="23" customFormat="false" ht="15" hidden="false" customHeight="false" outlineLevel="0" collapsed="false">
      <c r="A23" s="33" t="n">
        <v>3</v>
      </c>
      <c r="B23" s="5" t="s">
        <v>106</v>
      </c>
      <c r="C23" s="11" t="n">
        <f aca="false">IF(B23="",0,IFERROR(INDEX(確率DB!$E$4:$E$27,MATCH(B23,確率DB!$B$4:$B$27,0)),0))</f>
        <v>0.00012</v>
      </c>
      <c r="D23" s="5" t="s">
        <v>108</v>
      </c>
      <c r="E23" s="5" t="s">
        <v>122</v>
      </c>
      <c r="F23" s="5"/>
      <c r="G23" s="5"/>
      <c r="H23" s="5"/>
      <c r="I23" s="11" t="n">
        <f aca="false">IF(D23="",1,IFERROR(INDEX(確率DB!$G$4:$G$27,MATCH(D23,確率DB!$B$4:$B$27,0)),0))</f>
        <v>0.0685</v>
      </c>
      <c r="J23" s="11" t="n">
        <f aca="false">IF(E23="",1,IFERROR(INDEX(確率DB!$G$4:$G$27,MATCH(E23,確率DB!$B$4:$B$27,0)),0))</f>
        <v>0.0022</v>
      </c>
      <c r="K23" s="11" t="n">
        <f aca="false">IF(F23="",1,IFERROR(INDEX(確率DB!$G$4:$G$27,MATCH(F23,確率DB!$B$4:$B$27,0)),0))</f>
        <v>1</v>
      </c>
      <c r="L23" s="11" t="n">
        <f aca="false">IF(G23="",1,IFERROR(INDEX(確率DB!$G$4:$G$27,MATCH(G23,確率DB!$B$4:$B$27,0)),0))</f>
        <v>1</v>
      </c>
      <c r="M23" s="11" t="n">
        <f aca="false">IF(H23="",1,IFERROR(INDEX(確率DB!$G$4:$G$27,MATCH(H23,確率DB!$B$4:$B$27,0)),0))</f>
        <v>1</v>
      </c>
      <c r="N23" s="11" t="n">
        <f aca="false">C23*I23*J23*K23*L23*M23</f>
        <v>1.8084E-008</v>
      </c>
      <c r="O23" s="44" t="s">
        <v>227</v>
      </c>
    </row>
    <row r="24" customFormat="false" ht="15" hidden="false" customHeight="false" outlineLevel="0" collapsed="false">
      <c r="A24" s="33" t="n">
        <v>4</v>
      </c>
      <c r="B24" s="5" t="s">
        <v>106</v>
      </c>
      <c r="C24" s="11" t="n">
        <f aca="false">IF(B24="",0,IFERROR(INDEX(確率DB!$E$4:$E$27,MATCH(B24,確率DB!$B$4:$B$27,0)),0))</f>
        <v>0.00012</v>
      </c>
      <c r="D24" s="4" t="s">
        <v>97</v>
      </c>
      <c r="E24" s="5" t="s">
        <v>110</v>
      </c>
      <c r="F24" s="4"/>
      <c r="G24" s="4"/>
      <c r="H24" s="4"/>
      <c r="I24" s="11" t="n">
        <f aca="false">IF(D24="",1,IFERROR(INDEX(確率DB!$G$4:$G$27,MATCH(D24,確率DB!$B$4:$B$27,0)),0))</f>
        <v>1.94E-007</v>
      </c>
      <c r="J24" s="11" t="n">
        <f aca="false">IF(E24="",1,IFERROR(INDEX(確率DB!$G$4:$G$27,MATCH(E24,確率DB!$B$4:$B$27,0)),0))</f>
        <v>0.0793</v>
      </c>
      <c r="K24" s="11" t="n">
        <f aca="false">IF(F24="",1,IFERROR(INDEX(確率DB!$G$4:$G$27,MATCH(F24,確率DB!$B$4:$B$27,0)),0))</f>
        <v>1</v>
      </c>
      <c r="L24" s="11" t="n">
        <f aca="false">IF(G24="",1,IFERROR(INDEX(確率DB!$G$4:$G$27,MATCH(G24,確率DB!$B$4:$B$27,0)),0))</f>
        <v>1</v>
      </c>
      <c r="M24" s="11" t="n">
        <f aca="false">IF(H24="",1,IFERROR(INDEX(確率DB!$G$4:$G$27,MATCH(H24,確率DB!$B$4:$B$27,0)),0))</f>
        <v>1</v>
      </c>
      <c r="N24" s="11" t="n">
        <f aca="false">C24*I24*J24*K24*L24*M24</f>
        <v>1.846104E-012</v>
      </c>
      <c r="O24" s="44" t="s">
        <v>227</v>
      </c>
    </row>
    <row r="25" customFormat="false" ht="15" hidden="false" customHeight="false" outlineLevel="0" collapsed="false">
      <c r="A25" s="33" t="n">
        <v>5</v>
      </c>
      <c r="B25" s="5" t="s">
        <v>106</v>
      </c>
      <c r="C25" s="11" t="n">
        <f aca="false">IF(B25="",0,IFERROR(INDEX(確率DB!$E$4:$E$27,MATCH(B25,確率DB!$B$4:$B$27,0)),0))</f>
        <v>0.00012</v>
      </c>
      <c r="D25" s="4" t="s">
        <v>97</v>
      </c>
      <c r="E25" s="5" t="s">
        <v>118</v>
      </c>
      <c r="F25" s="4"/>
      <c r="G25" s="4"/>
      <c r="H25" s="4"/>
      <c r="I25" s="11" t="n">
        <f aca="false">IF(D25="",1,IFERROR(INDEX(確率DB!$G$4:$G$27,MATCH(D25,確率DB!$B$4:$B$27,0)),0))</f>
        <v>1.94E-007</v>
      </c>
      <c r="J25" s="11" t="n">
        <f aca="false">IF(E25="",1,IFERROR(INDEX(確率DB!$G$4:$G$27,MATCH(E25,確率DB!$B$4:$B$27,0)),0))</f>
        <v>0.00069</v>
      </c>
      <c r="K25" s="11" t="n">
        <f aca="false">IF(F25="",1,IFERROR(INDEX(確率DB!$G$4:$G$27,MATCH(F25,確率DB!$B$4:$B$27,0)),0))</f>
        <v>1</v>
      </c>
      <c r="L25" s="11" t="n">
        <f aca="false">IF(G25="",1,IFERROR(INDEX(確率DB!$G$4:$G$27,MATCH(G25,確率DB!$B$4:$B$27,0)),0))</f>
        <v>1</v>
      </c>
      <c r="M25" s="11" t="n">
        <f aca="false">IF(H25="",1,IFERROR(INDEX(確率DB!$G$4:$G$27,MATCH(H25,確率DB!$B$4:$B$27,0)),0))</f>
        <v>1</v>
      </c>
      <c r="N25" s="11" t="n">
        <f aca="false">C25*I25*J25*K25*L25*M25</f>
        <v>1.60632E-014</v>
      </c>
      <c r="O25" s="44" t="s">
        <v>227</v>
      </c>
    </row>
    <row r="26" customFormat="false" ht="15" hidden="false" customHeight="false" outlineLevel="0" collapsed="false">
      <c r="A26" s="33" t="n">
        <v>6</v>
      </c>
      <c r="B26" s="5" t="s">
        <v>106</v>
      </c>
      <c r="C26" s="11" t="n">
        <f aca="false">IF(B26="",0,IFERROR(INDEX(確率DB!$E$4:$E$27,MATCH(B26,確率DB!$B$4:$B$27,0)),0))</f>
        <v>0.00012</v>
      </c>
      <c r="D26" s="4" t="s">
        <v>97</v>
      </c>
      <c r="E26" s="5" t="s">
        <v>122</v>
      </c>
      <c r="F26" s="4"/>
      <c r="G26" s="4"/>
      <c r="H26" s="4"/>
      <c r="I26" s="11" t="n">
        <f aca="false">IF(D26="",1,IFERROR(INDEX(確率DB!$G$4:$G$27,MATCH(D26,確率DB!$B$4:$B$27,0)),0))</f>
        <v>1.94E-007</v>
      </c>
      <c r="J26" s="11" t="n">
        <f aca="false">IF(E26="",1,IFERROR(INDEX(確率DB!$G$4:$G$27,MATCH(E26,確率DB!$B$4:$B$27,0)),0))</f>
        <v>0.0022</v>
      </c>
      <c r="K26" s="11" t="n">
        <f aca="false">IF(F26="",1,IFERROR(INDEX(確率DB!$G$4:$G$27,MATCH(F26,確率DB!$B$4:$B$27,0)),0))</f>
        <v>1</v>
      </c>
      <c r="L26" s="11" t="n">
        <f aca="false">IF(G26="",1,IFERROR(INDEX(確率DB!$G$4:$G$27,MATCH(G26,確率DB!$B$4:$B$27,0)),0))</f>
        <v>1</v>
      </c>
      <c r="M26" s="11" t="n">
        <f aca="false">IF(H26="",1,IFERROR(INDEX(確率DB!$G$4:$G$27,MATCH(H26,確率DB!$B$4:$B$27,0)),0))</f>
        <v>1</v>
      </c>
      <c r="N26" s="11" t="n">
        <f aca="false">C26*I26*J26*K26*L26*M26</f>
        <v>5.1216E-014</v>
      </c>
      <c r="O26" s="44" t="s">
        <v>227</v>
      </c>
    </row>
    <row r="27" customFormat="false" ht="15" hidden="false" customHeight="false" outlineLevel="0" collapsed="false">
      <c r="A27" s="33" t="n">
        <v>7</v>
      </c>
      <c r="B27" s="5" t="s">
        <v>106</v>
      </c>
      <c r="C27" s="11" t="n">
        <f aca="false">IF(B27="",0,IFERROR(INDEX(確率DB!$E$4:$E$27,MATCH(B27,確率DB!$B$4:$B$27,0)),0))</f>
        <v>0.00012</v>
      </c>
      <c r="D27" s="5" t="s">
        <v>115</v>
      </c>
      <c r="E27" s="5" t="s">
        <v>110</v>
      </c>
      <c r="F27" s="4"/>
      <c r="G27" s="4"/>
      <c r="H27" s="4"/>
      <c r="I27" s="11" t="n">
        <f aca="false">IF(D27="",1,IFERROR(INDEX(確率DB!$G$4:$G$27,MATCH(D27,確率DB!$B$4:$B$27,0)),0))</f>
        <v>9.3E-006</v>
      </c>
      <c r="J27" s="11" t="n">
        <f aca="false">IF(E27="",1,IFERROR(INDEX(確率DB!$G$4:$G$27,MATCH(E27,確率DB!$B$4:$B$27,0)),0))</f>
        <v>0.0793</v>
      </c>
      <c r="K27" s="11" t="n">
        <f aca="false">IF(F27="",1,IFERROR(INDEX(確率DB!$G$4:$G$27,MATCH(F27,確率DB!$B$4:$B$27,0)),0))</f>
        <v>1</v>
      </c>
      <c r="L27" s="11" t="n">
        <f aca="false">IF(G27="",1,IFERROR(INDEX(確率DB!$G$4:$G$27,MATCH(G27,確率DB!$B$4:$B$27,0)),0))</f>
        <v>1</v>
      </c>
      <c r="M27" s="11" t="n">
        <f aca="false">IF(H27="",1,IFERROR(INDEX(確率DB!$G$4:$G$27,MATCH(H27,確率DB!$B$4:$B$27,0)),0))</f>
        <v>1</v>
      </c>
      <c r="N27" s="11" t="n">
        <f aca="false">C27*I27*J27*K27*L27*M27</f>
        <v>8.84988E-011</v>
      </c>
      <c r="O27" s="44" t="s">
        <v>227</v>
      </c>
    </row>
    <row r="28" customFormat="false" ht="15" hidden="false" customHeight="false" outlineLevel="0" collapsed="false">
      <c r="A28" s="33" t="n">
        <v>8</v>
      </c>
      <c r="B28" s="5" t="s">
        <v>106</v>
      </c>
      <c r="C28" s="11" t="n">
        <f aca="false">IF(B28="",0,IFERROR(INDEX(確率DB!$E$4:$E$27,MATCH(B28,確率DB!$B$4:$B$27,0)),0))</f>
        <v>0.00012</v>
      </c>
      <c r="D28" s="5" t="s">
        <v>115</v>
      </c>
      <c r="E28" s="5" t="s">
        <v>118</v>
      </c>
      <c r="F28" s="4"/>
      <c r="G28" s="4"/>
      <c r="H28" s="4"/>
      <c r="I28" s="11" t="n">
        <f aca="false">IF(D28="",1,IFERROR(INDEX(確率DB!$G$4:$G$27,MATCH(D28,確率DB!$B$4:$B$27,0)),0))</f>
        <v>9.3E-006</v>
      </c>
      <c r="J28" s="11" t="n">
        <f aca="false">IF(E28="",1,IFERROR(INDEX(確率DB!$G$4:$G$27,MATCH(E28,確率DB!$B$4:$B$27,0)),0))</f>
        <v>0.00069</v>
      </c>
      <c r="K28" s="11" t="n">
        <f aca="false">IF(F28="",1,IFERROR(INDEX(確率DB!$G$4:$G$27,MATCH(F28,確率DB!$B$4:$B$27,0)),0))</f>
        <v>1</v>
      </c>
      <c r="L28" s="11" t="n">
        <f aca="false">IF(G28="",1,IFERROR(INDEX(確率DB!$G$4:$G$27,MATCH(G28,確率DB!$B$4:$B$27,0)),0))</f>
        <v>1</v>
      </c>
      <c r="M28" s="11" t="n">
        <f aca="false">IF(H28="",1,IFERROR(INDEX(確率DB!$G$4:$G$27,MATCH(H28,確率DB!$B$4:$B$27,0)),0))</f>
        <v>1</v>
      </c>
      <c r="N28" s="11" t="n">
        <f aca="false">C28*I28*J28*K28*L28*M28</f>
        <v>7.7004E-013</v>
      </c>
      <c r="O28" s="44" t="s">
        <v>227</v>
      </c>
    </row>
    <row r="29" customFormat="false" ht="15" hidden="false" customHeight="false" outlineLevel="0" collapsed="false">
      <c r="A29" s="33" t="n">
        <v>9</v>
      </c>
      <c r="B29" s="5" t="s">
        <v>106</v>
      </c>
      <c r="C29" s="11" t="n">
        <f aca="false">IF(B29="",0,IFERROR(INDEX(確率DB!$E$4:$E$27,MATCH(B29,確率DB!$B$4:$B$27,0)),0))</f>
        <v>0.00012</v>
      </c>
      <c r="D29" s="5" t="s">
        <v>115</v>
      </c>
      <c r="E29" s="5" t="s">
        <v>122</v>
      </c>
      <c r="F29" s="4"/>
      <c r="G29" s="4"/>
      <c r="H29" s="4"/>
      <c r="I29" s="11" t="n">
        <f aca="false">IF(D29="",1,IFERROR(INDEX(確率DB!$G$4:$G$27,MATCH(D29,確率DB!$B$4:$B$27,0)),0))</f>
        <v>9.3E-006</v>
      </c>
      <c r="J29" s="11" t="n">
        <f aca="false">IF(E29="",1,IFERROR(INDEX(確率DB!$G$4:$G$27,MATCH(E29,確率DB!$B$4:$B$27,0)),0))</f>
        <v>0.0022</v>
      </c>
      <c r="K29" s="11" t="n">
        <f aca="false">IF(F29="",1,IFERROR(INDEX(確率DB!$G$4:$G$27,MATCH(F29,確率DB!$B$4:$B$27,0)),0))</f>
        <v>1</v>
      </c>
      <c r="L29" s="11" t="n">
        <f aca="false">IF(G29="",1,IFERROR(INDEX(確率DB!$G$4:$G$27,MATCH(G29,確率DB!$B$4:$B$27,0)),0))</f>
        <v>1</v>
      </c>
      <c r="M29" s="11" t="n">
        <f aca="false">IF(H29="",1,IFERROR(INDEX(確率DB!$G$4:$G$27,MATCH(H29,確率DB!$B$4:$B$27,0)),0))</f>
        <v>1</v>
      </c>
      <c r="N29" s="11" t="n">
        <f aca="false">C29*I29*J29*K29*L29*M29</f>
        <v>2.4552E-012</v>
      </c>
      <c r="O29" s="44" t="s">
        <v>227</v>
      </c>
    </row>
    <row r="30" customFormat="false" ht="26.85" hidden="false" customHeight="false" outlineLevel="0" collapsed="false">
      <c r="A30" s="33" t="n">
        <v>10</v>
      </c>
      <c r="B30" s="5" t="s">
        <v>106</v>
      </c>
      <c r="C30" s="11" t="n">
        <f aca="false">IF(B30="",0,IFERROR(INDEX(確率DB!$E$4:$E$27,MATCH(B30,確率DB!$B$4:$B$27,0)),0))</f>
        <v>0.00012</v>
      </c>
      <c r="D30" s="5" t="s">
        <v>137</v>
      </c>
      <c r="E30" s="5" t="s">
        <v>110</v>
      </c>
      <c r="F30" s="4"/>
      <c r="G30" s="4"/>
      <c r="H30" s="4"/>
      <c r="I30" s="11" t="n">
        <f aca="false">IF(D30="",1,IFERROR(INDEX(確率DB!$G$4:$G$27,MATCH(D30,確率DB!$B$4:$B$27,0)),0))</f>
        <v>0.0001</v>
      </c>
      <c r="J30" s="11" t="n">
        <f aca="false">IF(E30="",1,IFERROR(INDEX(確率DB!$G$4:$G$27,MATCH(E30,確率DB!$B$4:$B$27,0)),0))</f>
        <v>0.0793</v>
      </c>
      <c r="K30" s="11" t="n">
        <f aca="false">IF(F30="",1,IFERROR(INDEX(確率DB!$G$4:$G$27,MATCH(F30,確率DB!$B$4:$B$27,0)),0))</f>
        <v>1</v>
      </c>
      <c r="L30" s="11" t="n">
        <f aca="false">IF(G30="",1,IFERROR(INDEX(確率DB!$G$4:$G$27,MATCH(G30,確率DB!$B$4:$B$27,0)),0))</f>
        <v>1</v>
      </c>
      <c r="M30" s="11" t="n">
        <f aca="false">IF(H30="",1,IFERROR(INDEX(確率DB!$G$4:$G$27,MATCH(H30,確率DB!$B$4:$B$27,0)),0))</f>
        <v>1</v>
      </c>
      <c r="N30" s="11" t="n">
        <f aca="false">C30*I30*J30*K30*L30*M30</f>
        <v>9.516E-010</v>
      </c>
      <c r="O30" s="44" t="s">
        <v>227</v>
      </c>
    </row>
    <row r="31" customFormat="false" ht="26.85" hidden="false" customHeight="false" outlineLevel="0" collapsed="false">
      <c r="A31" s="33" t="n">
        <v>11</v>
      </c>
      <c r="B31" s="5" t="s">
        <v>106</v>
      </c>
      <c r="C31" s="11" t="n">
        <f aca="false">IF(B31="",0,IFERROR(INDEX(確率DB!$E$4:$E$27,MATCH(B31,確率DB!$B$4:$B$27,0)),0))</f>
        <v>0.00012</v>
      </c>
      <c r="D31" s="5" t="s">
        <v>137</v>
      </c>
      <c r="E31" s="5" t="s">
        <v>118</v>
      </c>
      <c r="F31" s="4"/>
      <c r="G31" s="4"/>
      <c r="H31" s="4"/>
      <c r="I31" s="11" t="n">
        <f aca="false">IF(D31="",1,IFERROR(INDEX(確率DB!$G$4:$G$27,MATCH(D31,確率DB!$B$4:$B$27,0)),0))</f>
        <v>0.0001</v>
      </c>
      <c r="J31" s="11" t="n">
        <f aca="false">IF(E31="",1,IFERROR(INDEX(確率DB!$G$4:$G$27,MATCH(E31,確率DB!$B$4:$B$27,0)),0))</f>
        <v>0.00069</v>
      </c>
      <c r="K31" s="11" t="n">
        <f aca="false">IF(F31="",1,IFERROR(INDEX(確率DB!$G$4:$G$27,MATCH(F31,確率DB!$B$4:$B$27,0)),0))</f>
        <v>1</v>
      </c>
      <c r="L31" s="11" t="n">
        <f aca="false">IF(G31="",1,IFERROR(INDEX(確率DB!$G$4:$G$27,MATCH(G31,確率DB!$B$4:$B$27,0)),0))</f>
        <v>1</v>
      </c>
      <c r="M31" s="11" t="n">
        <f aca="false">IF(H31="",1,IFERROR(INDEX(確率DB!$G$4:$G$27,MATCH(H31,確率DB!$B$4:$B$27,0)),0))</f>
        <v>1</v>
      </c>
      <c r="N31" s="11" t="n">
        <f aca="false">C31*I31*J31*K31*L31*M31</f>
        <v>8.28E-012</v>
      </c>
      <c r="O31" s="44" t="s">
        <v>227</v>
      </c>
    </row>
    <row r="32" customFormat="false" ht="26.85" hidden="false" customHeight="false" outlineLevel="0" collapsed="false">
      <c r="A32" s="33" t="n">
        <v>12</v>
      </c>
      <c r="B32" s="5" t="s">
        <v>106</v>
      </c>
      <c r="C32" s="11" t="n">
        <f aca="false">IF(B32="",0,IFERROR(INDEX(確率DB!$E$4:$E$27,MATCH(B32,確率DB!$B$4:$B$27,0)),0))</f>
        <v>0.00012</v>
      </c>
      <c r="D32" s="5" t="s">
        <v>137</v>
      </c>
      <c r="E32" s="5" t="s">
        <v>122</v>
      </c>
      <c r="F32" s="4"/>
      <c r="G32" s="4"/>
      <c r="H32" s="4"/>
      <c r="I32" s="11" t="n">
        <f aca="false">IF(D32="",1,IFERROR(INDEX(確率DB!$G$4:$G$27,MATCH(D32,確率DB!$B$4:$B$27,0)),0))</f>
        <v>0.0001</v>
      </c>
      <c r="J32" s="11" t="n">
        <f aca="false">IF(E32="",1,IFERROR(INDEX(確率DB!$G$4:$G$27,MATCH(E32,確率DB!$B$4:$B$27,0)),0))</f>
        <v>0.0022</v>
      </c>
      <c r="K32" s="11" t="n">
        <f aca="false">IF(F32="",1,IFERROR(INDEX(確率DB!$G$4:$G$27,MATCH(F32,確率DB!$B$4:$B$27,0)),0))</f>
        <v>1</v>
      </c>
      <c r="L32" s="11" t="n">
        <f aca="false">IF(G32="",1,IFERROR(INDEX(確率DB!$G$4:$G$27,MATCH(G32,確率DB!$B$4:$B$27,0)),0))</f>
        <v>1</v>
      </c>
      <c r="M32" s="11" t="n">
        <f aca="false">IF(H32="",1,IFERROR(INDEX(確率DB!$G$4:$G$27,MATCH(H32,確率DB!$B$4:$B$27,0)),0))</f>
        <v>1</v>
      </c>
      <c r="N32" s="11" t="n">
        <f aca="false">C32*I32*J32*K32*L32*M32</f>
        <v>2.64E-011</v>
      </c>
      <c r="O32" s="44" t="s">
        <v>227</v>
      </c>
    </row>
    <row r="33" customFormat="false" ht="26.85" hidden="false" customHeight="false" outlineLevel="0" collapsed="false">
      <c r="A33" s="33" t="n">
        <v>13</v>
      </c>
      <c r="B33" s="5" t="s">
        <v>106</v>
      </c>
      <c r="C33" s="11" t="n">
        <f aca="false">IF(B33="",0,IFERROR(INDEX(確率DB!$E$4:$E$27,MATCH(B33,確率DB!$B$4:$B$27,0)),0))</f>
        <v>0.00012</v>
      </c>
      <c r="D33" s="5" t="s">
        <v>139</v>
      </c>
      <c r="E33" s="5" t="s">
        <v>110</v>
      </c>
      <c r="F33" s="4"/>
      <c r="G33" s="4"/>
      <c r="H33" s="4"/>
      <c r="I33" s="11" t="n">
        <f aca="false">IF(D33="",1,IFERROR(INDEX(確率DB!$G$4:$G$27,MATCH(D33,確率DB!$B$4:$B$27,0)),0))</f>
        <v>0.3</v>
      </c>
      <c r="J33" s="11" t="n">
        <f aca="false">IF(E33="",1,IFERROR(INDEX(確率DB!$G$4:$G$27,MATCH(E33,確率DB!$B$4:$B$27,0)),0))</f>
        <v>0.0793</v>
      </c>
      <c r="K33" s="11" t="n">
        <f aca="false">IF(F33="",1,IFERROR(INDEX(確率DB!$G$4:$G$27,MATCH(F33,確率DB!$B$4:$B$27,0)),0))</f>
        <v>1</v>
      </c>
      <c r="L33" s="11" t="n">
        <f aca="false">IF(G33="",1,IFERROR(INDEX(確率DB!$G$4:$G$27,MATCH(G33,確率DB!$B$4:$B$27,0)),0))</f>
        <v>1</v>
      </c>
      <c r="M33" s="11" t="n">
        <f aca="false">IF(H33="",1,IFERROR(INDEX(確率DB!$G$4:$G$27,MATCH(H33,確率DB!$B$4:$B$27,0)),0))</f>
        <v>1</v>
      </c>
      <c r="N33" s="11" t="n">
        <f aca="false">C33*I33*J33*K33*L33*M33</f>
        <v>2.8548E-006</v>
      </c>
      <c r="O33" s="44" t="s">
        <v>227</v>
      </c>
    </row>
    <row r="34" customFormat="false" ht="26.85" hidden="false" customHeight="false" outlineLevel="0" collapsed="false">
      <c r="A34" s="33" t="n">
        <v>14</v>
      </c>
      <c r="B34" s="5" t="s">
        <v>106</v>
      </c>
      <c r="C34" s="11" t="n">
        <f aca="false">IF(B34="",0,IFERROR(INDEX(確率DB!$E$4:$E$27,MATCH(B34,確率DB!$B$4:$B$27,0)),0))</f>
        <v>0.00012</v>
      </c>
      <c r="D34" s="5" t="s">
        <v>139</v>
      </c>
      <c r="E34" s="5" t="s">
        <v>118</v>
      </c>
      <c r="F34" s="4"/>
      <c r="G34" s="4"/>
      <c r="H34" s="4"/>
      <c r="I34" s="11" t="n">
        <f aca="false">IF(D34="",1,IFERROR(INDEX(確率DB!$G$4:$G$27,MATCH(D34,確率DB!$B$4:$B$27,0)),0))</f>
        <v>0.3</v>
      </c>
      <c r="J34" s="11" t="n">
        <f aca="false">IF(E34="",1,IFERROR(INDEX(確率DB!$G$4:$G$27,MATCH(E34,確率DB!$B$4:$B$27,0)),0))</f>
        <v>0.00069</v>
      </c>
      <c r="K34" s="11" t="n">
        <f aca="false">IF(F34="",1,IFERROR(INDEX(確率DB!$G$4:$G$27,MATCH(F34,確率DB!$B$4:$B$27,0)),0))</f>
        <v>1</v>
      </c>
      <c r="L34" s="11" t="n">
        <f aca="false">IF(G34="",1,IFERROR(INDEX(確率DB!$G$4:$G$27,MATCH(G34,確率DB!$B$4:$B$27,0)),0))</f>
        <v>1</v>
      </c>
      <c r="M34" s="11" t="n">
        <f aca="false">IF(H34="",1,IFERROR(INDEX(確率DB!$G$4:$G$27,MATCH(H34,確率DB!$B$4:$B$27,0)),0))</f>
        <v>1</v>
      </c>
      <c r="N34" s="11" t="n">
        <f aca="false">C34*I34*J34*K34*L34*M34</f>
        <v>2.484E-008</v>
      </c>
      <c r="O34" s="44" t="s">
        <v>227</v>
      </c>
    </row>
    <row r="35" customFormat="false" ht="26.85" hidden="false" customHeight="false" outlineLevel="0" collapsed="false">
      <c r="A35" s="33" t="n">
        <v>15</v>
      </c>
      <c r="B35" s="5" t="s">
        <v>106</v>
      </c>
      <c r="C35" s="11" t="n">
        <f aca="false">IF(B35="",0,IFERROR(INDEX(確率DB!$E$4:$E$27,MATCH(B35,確率DB!$B$4:$B$27,0)),0))</f>
        <v>0.00012</v>
      </c>
      <c r="D35" s="5" t="s">
        <v>139</v>
      </c>
      <c r="E35" s="5" t="s">
        <v>122</v>
      </c>
      <c r="F35" s="4"/>
      <c r="G35" s="4"/>
      <c r="H35" s="4"/>
      <c r="I35" s="11" t="n">
        <f aca="false">IF(D35="",1,IFERROR(INDEX(確率DB!$G$4:$G$27,MATCH(D35,確率DB!$B$4:$B$27,0)),0))</f>
        <v>0.3</v>
      </c>
      <c r="J35" s="11" t="n">
        <f aca="false">IF(E35="",1,IFERROR(INDEX(確率DB!$G$4:$G$27,MATCH(E35,確率DB!$B$4:$B$27,0)),0))</f>
        <v>0.0022</v>
      </c>
      <c r="K35" s="11" t="n">
        <f aca="false">IF(F35="",1,IFERROR(INDEX(確率DB!$G$4:$G$27,MATCH(F35,確率DB!$B$4:$B$27,0)),0))</f>
        <v>1</v>
      </c>
      <c r="L35" s="11" t="n">
        <f aca="false">IF(G35="",1,IFERROR(INDEX(確率DB!$G$4:$G$27,MATCH(G35,確率DB!$B$4:$B$27,0)),0))</f>
        <v>1</v>
      </c>
      <c r="M35" s="11" t="n">
        <f aca="false">IF(H35="",1,IFERROR(INDEX(確率DB!$G$4:$G$27,MATCH(H35,確率DB!$B$4:$B$27,0)),0))</f>
        <v>1</v>
      </c>
      <c r="N35" s="11" t="n">
        <f aca="false">C35*I35*J35*K35*L35*M35</f>
        <v>7.92E-008</v>
      </c>
      <c r="O35" s="44" t="s">
        <v>227</v>
      </c>
    </row>
    <row r="36" customFormat="false" ht="15" hidden="false" customHeight="false" outlineLevel="0" collapsed="false">
      <c r="A36" s="33" t="n">
        <v>16</v>
      </c>
      <c r="B36" s="4" t="s">
        <v>97</v>
      </c>
      <c r="C36" s="11" t="n">
        <f aca="false">IF(B36="",0,IFERROR(INDEX(確率DB!$E$4:$E$27,MATCH(B36,確率DB!$B$4:$B$27,0)),0))</f>
        <v>5.28E-010</v>
      </c>
      <c r="D36" s="5" t="s">
        <v>108</v>
      </c>
      <c r="E36" s="5" t="s">
        <v>110</v>
      </c>
      <c r="F36" s="4"/>
      <c r="G36" s="4"/>
      <c r="H36" s="4"/>
      <c r="I36" s="11" t="n">
        <f aca="false">IF(D36="",1,IFERROR(INDEX(確率DB!$G$4:$G$27,MATCH(D36,確率DB!$B$4:$B$27,0)),0))</f>
        <v>0.0685</v>
      </c>
      <c r="J36" s="11" t="n">
        <f aca="false">IF(E36="",1,IFERROR(INDEX(確率DB!$G$4:$G$27,MATCH(E36,確率DB!$B$4:$B$27,0)),0))</f>
        <v>0.0793</v>
      </c>
      <c r="K36" s="11" t="n">
        <f aca="false">IF(F36="",1,IFERROR(INDEX(確率DB!$G$4:$G$27,MATCH(F36,確率DB!$B$4:$B$27,0)),0))</f>
        <v>1</v>
      </c>
      <c r="L36" s="11" t="n">
        <f aca="false">IF(G36="",1,IFERROR(INDEX(確率DB!$G$4:$G$27,MATCH(G36,確率DB!$B$4:$B$27,0)),0))</f>
        <v>1</v>
      </c>
      <c r="M36" s="11" t="n">
        <f aca="false">IF(H36="",1,IFERROR(INDEX(確率DB!$G$4:$G$27,MATCH(H36,確率DB!$B$4:$B$27,0)),0))</f>
        <v>1</v>
      </c>
      <c r="N36" s="11" t="n">
        <f aca="false">C36*I36*J36*K36*L36*M36</f>
        <v>2.8681224E-012</v>
      </c>
      <c r="O36" s="44" t="s">
        <v>227</v>
      </c>
    </row>
    <row r="37" customFormat="false" ht="15" hidden="false" customHeight="false" outlineLevel="0" collapsed="false">
      <c r="A37" s="33" t="n">
        <v>17</v>
      </c>
      <c r="B37" s="4" t="s">
        <v>97</v>
      </c>
      <c r="C37" s="11" t="n">
        <f aca="false">IF(B37="",0,IFERROR(INDEX(確率DB!$E$4:$E$27,MATCH(B37,確率DB!$B$4:$B$27,0)),0))</f>
        <v>5.28E-010</v>
      </c>
      <c r="D37" s="5" t="s">
        <v>108</v>
      </c>
      <c r="E37" s="5" t="s">
        <v>118</v>
      </c>
      <c r="F37" s="4"/>
      <c r="G37" s="4"/>
      <c r="H37" s="4"/>
      <c r="I37" s="11" t="n">
        <f aca="false">IF(D37="",1,IFERROR(INDEX(確率DB!$G$4:$G$27,MATCH(D37,確率DB!$B$4:$B$27,0)),0))</f>
        <v>0.0685</v>
      </c>
      <c r="J37" s="11" t="n">
        <f aca="false">IF(E37="",1,IFERROR(INDEX(確率DB!$G$4:$G$27,MATCH(E37,確率DB!$B$4:$B$27,0)),0))</f>
        <v>0.00069</v>
      </c>
      <c r="K37" s="11" t="n">
        <f aca="false">IF(F37="",1,IFERROR(INDEX(確率DB!$G$4:$G$27,MATCH(F37,確率DB!$B$4:$B$27,0)),0))</f>
        <v>1</v>
      </c>
      <c r="L37" s="11" t="n">
        <f aca="false">IF(G37="",1,IFERROR(INDEX(確率DB!$G$4:$G$27,MATCH(G37,確率DB!$B$4:$B$27,0)),0))</f>
        <v>1</v>
      </c>
      <c r="M37" s="11" t="n">
        <f aca="false">IF(H37="",1,IFERROR(INDEX(確率DB!$G$4:$G$27,MATCH(H37,確率DB!$B$4:$B$27,0)),0))</f>
        <v>1</v>
      </c>
      <c r="N37" s="11" t="n">
        <f aca="false">C37*I37*J37*K37*L37*M37</f>
        <v>2.495592E-014</v>
      </c>
      <c r="O37" s="44" t="s">
        <v>227</v>
      </c>
    </row>
    <row r="38" customFormat="false" ht="15" hidden="false" customHeight="false" outlineLevel="0" collapsed="false">
      <c r="A38" s="33" t="n">
        <v>18</v>
      </c>
      <c r="B38" s="4" t="s">
        <v>97</v>
      </c>
      <c r="C38" s="11" t="n">
        <f aca="false">IF(B38="",0,IFERROR(INDEX(確率DB!$E$4:$E$27,MATCH(B38,確率DB!$B$4:$B$27,0)),0))</f>
        <v>5.28E-010</v>
      </c>
      <c r="D38" s="5" t="s">
        <v>108</v>
      </c>
      <c r="E38" s="5" t="s">
        <v>122</v>
      </c>
      <c r="F38" s="4"/>
      <c r="G38" s="4"/>
      <c r="H38" s="4"/>
      <c r="I38" s="11" t="n">
        <f aca="false">IF(D38="",1,IFERROR(INDEX(確率DB!$G$4:$G$27,MATCH(D38,確率DB!$B$4:$B$27,0)),0))</f>
        <v>0.0685</v>
      </c>
      <c r="J38" s="11" t="n">
        <f aca="false">IF(E38="",1,IFERROR(INDEX(確率DB!$G$4:$G$27,MATCH(E38,確率DB!$B$4:$B$27,0)),0))</f>
        <v>0.0022</v>
      </c>
      <c r="K38" s="11" t="n">
        <f aca="false">IF(F38="",1,IFERROR(INDEX(確率DB!$G$4:$G$27,MATCH(F38,確率DB!$B$4:$B$27,0)),0))</f>
        <v>1</v>
      </c>
      <c r="L38" s="11" t="n">
        <f aca="false">IF(G38="",1,IFERROR(INDEX(確率DB!$G$4:$G$27,MATCH(G38,確率DB!$B$4:$B$27,0)),0))</f>
        <v>1</v>
      </c>
      <c r="M38" s="11" t="n">
        <f aca="false">IF(H38="",1,IFERROR(INDEX(確率DB!$G$4:$G$27,MATCH(H38,確率DB!$B$4:$B$27,0)),0))</f>
        <v>1</v>
      </c>
      <c r="N38" s="11" t="n">
        <f aca="false">C38*I38*J38*K38*L38*M38</f>
        <v>7.95696E-014</v>
      </c>
      <c r="O38" s="44" t="s">
        <v>227</v>
      </c>
    </row>
    <row r="39" customFormat="false" ht="15" hidden="false" customHeight="false" outlineLevel="0" collapsed="false">
      <c r="A39" s="33" t="n">
        <v>19</v>
      </c>
      <c r="B39" s="4" t="s">
        <v>97</v>
      </c>
      <c r="C39" s="11" t="n">
        <f aca="false">IF(B39="",0,IFERROR(INDEX(確率DB!$E$4:$E$27,MATCH(B39,確率DB!$B$4:$B$27,0)),0))</f>
        <v>5.28E-010</v>
      </c>
      <c r="D39" s="4" t="s">
        <v>97</v>
      </c>
      <c r="E39" s="5" t="s">
        <v>110</v>
      </c>
      <c r="F39" s="4"/>
      <c r="G39" s="4"/>
      <c r="H39" s="4"/>
      <c r="I39" s="11" t="n">
        <f aca="false">IF(D39="",1,IFERROR(INDEX(確率DB!$G$4:$G$27,MATCH(D39,確率DB!$B$4:$B$27,0)),0))</f>
        <v>1.94E-007</v>
      </c>
      <c r="J39" s="11" t="n">
        <f aca="false">IF(E39="",1,IFERROR(INDEX(確率DB!$G$4:$G$27,MATCH(E39,確率DB!$B$4:$B$27,0)),0))</f>
        <v>0.0793</v>
      </c>
      <c r="K39" s="11" t="n">
        <f aca="false">IF(F39="",1,IFERROR(INDEX(確率DB!$G$4:$G$27,MATCH(F39,確率DB!$B$4:$B$27,0)),0))</f>
        <v>1</v>
      </c>
      <c r="L39" s="11" t="n">
        <f aca="false">IF(G39="",1,IFERROR(INDEX(確率DB!$G$4:$G$27,MATCH(G39,確率DB!$B$4:$B$27,0)),0))</f>
        <v>1</v>
      </c>
      <c r="M39" s="11" t="n">
        <f aca="false">IF(H39="",1,IFERROR(INDEX(確率DB!$G$4:$G$27,MATCH(H39,確率DB!$B$4:$B$27,0)),0))</f>
        <v>1</v>
      </c>
      <c r="N39" s="11" t="n">
        <f aca="false">C39*I39*J39*K39*L39*M39</f>
        <v>8.1228576E-018</v>
      </c>
      <c r="O39" s="44" t="s">
        <v>227</v>
      </c>
    </row>
    <row r="40" customFormat="false" ht="15" hidden="false" customHeight="false" outlineLevel="0" collapsed="false">
      <c r="A40" s="33" t="n">
        <v>20</v>
      </c>
      <c r="B40" s="4" t="s">
        <v>97</v>
      </c>
      <c r="C40" s="11" t="n">
        <f aca="false">IF(B40="",0,IFERROR(INDEX(確率DB!$E$4:$E$27,MATCH(B40,確率DB!$B$4:$B$27,0)),0))</f>
        <v>5.28E-010</v>
      </c>
      <c r="D40" s="4" t="s">
        <v>97</v>
      </c>
      <c r="E40" s="5" t="s">
        <v>118</v>
      </c>
      <c r="F40" s="4"/>
      <c r="G40" s="4"/>
      <c r="H40" s="4"/>
      <c r="I40" s="11" t="n">
        <f aca="false">IF(D40="",1,IFERROR(INDEX(確率DB!$G$4:$G$27,MATCH(D40,確率DB!$B$4:$B$27,0)),0))</f>
        <v>1.94E-007</v>
      </c>
      <c r="J40" s="11" t="n">
        <f aca="false">IF(E40="",1,IFERROR(INDEX(確率DB!$G$4:$G$27,MATCH(E40,確率DB!$B$4:$B$27,0)),0))</f>
        <v>0.00069</v>
      </c>
      <c r="K40" s="11" t="n">
        <f aca="false">IF(F40="",1,IFERROR(INDEX(確率DB!$G$4:$G$27,MATCH(F40,確率DB!$B$4:$B$27,0)),0))</f>
        <v>1</v>
      </c>
      <c r="L40" s="11" t="n">
        <f aca="false">IF(G40="",1,IFERROR(INDEX(確率DB!$G$4:$G$27,MATCH(G40,確率DB!$B$4:$B$27,0)),0))</f>
        <v>1</v>
      </c>
      <c r="M40" s="11" t="n">
        <f aca="false">IF(H40="",1,IFERROR(INDEX(確率DB!$G$4:$G$27,MATCH(H40,確率DB!$B$4:$B$27,0)),0))</f>
        <v>1</v>
      </c>
      <c r="N40" s="11" t="n">
        <f aca="false">C40*I40*J40*K40*L40*M40</f>
        <v>7.067808E-020</v>
      </c>
      <c r="O40" s="44" t="s">
        <v>227</v>
      </c>
    </row>
    <row r="41" customFormat="false" ht="15" hidden="false" customHeight="false" outlineLevel="0" collapsed="false">
      <c r="A41" s="33" t="n">
        <v>21</v>
      </c>
      <c r="B41" s="4" t="s">
        <v>97</v>
      </c>
      <c r="C41" s="11" t="n">
        <f aca="false">IF(B41="",0,IFERROR(INDEX(確率DB!$E$4:$E$27,MATCH(B41,確率DB!$B$4:$B$27,0)),0))</f>
        <v>5.28E-010</v>
      </c>
      <c r="D41" s="4" t="s">
        <v>97</v>
      </c>
      <c r="E41" s="5" t="s">
        <v>122</v>
      </c>
      <c r="F41" s="4"/>
      <c r="G41" s="4"/>
      <c r="H41" s="4"/>
      <c r="I41" s="11" t="n">
        <f aca="false">IF(D41="",1,IFERROR(INDEX(確率DB!$G$4:$G$27,MATCH(D41,確率DB!$B$4:$B$27,0)),0))</f>
        <v>1.94E-007</v>
      </c>
      <c r="J41" s="11" t="n">
        <f aca="false">IF(E41="",1,IFERROR(INDEX(確率DB!$G$4:$G$27,MATCH(E41,確率DB!$B$4:$B$27,0)),0))</f>
        <v>0.0022</v>
      </c>
      <c r="K41" s="11" t="n">
        <f aca="false">IF(F41="",1,IFERROR(INDEX(確率DB!$G$4:$G$27,MATCH(F41,確率DB!$B$4:$B$27,0)),0))</f>
        <v>1</v>
      </c>
      <c r="L41" s="11" t="n">
        <f aca="false">IF(G41="",1,IFERROR(INDEX(確率DB!$G$4:$G$27,MATCH(G41,確率DB!$B$4:$B$27,0)),0))</f>
        <v>1</v>
      </c>
      <c r="M41" s="11" t="n">
        <f aca="false">IF(H41="",1,IFERROR(INDEX(確率DB!$G$4:$G$27,MATCH(H41,確率DB!$B$4:$B$27,0)),0))</f>
        <v>1</v>
      </c>
      <c r="N41" s="11" t="n">
        <f aca="false">C41*I41*J41*K41*L41*M41</f>
        <v>2.253504E-019</v>
      </c>
      <c r="O41" s="44" t="s">
        <v>227</v>
      </c>
    </row>
    <row r="42" customFormat="false" ht="15" hidden="false" customHeight="false" outlineLevel="0" collapsed="false">
      <c r="A42" s="33" t="n">
        <v>22</v>
      </c>
      <c r="B42" s="4" t="s">
        <v>97</v>
      </c>
      <c r="C42" s="11" t="n">
        <f aca="false">IF(B42="",0,IFERROR(INDEX(確率DB!$E$4:$E$27,MATCH(B42,確率DB!$B$4:$B$27,0)),0))</f>
        <v>5.28E-010</v>
      </c>
      <c r="D42" s="5" t="s">
        <v>115</v>
      </c>
      <c r="E42" s="5" t="s">
        <v>110</v>
      </c>
      <c r="F42" s="4"/>
      <c r="G42" s="4"/>
      <c r="H42" s="4"/>
      <c r="I42" s="11" t="n">
        <f aca="false">IF(D42="",1,IFERROR(INDEX(確率DB!$G$4:$G$27,MATCH(D42,確率DB!$B$4:$B$27,0)),0))</f>
        <v>9.3E-006</v>
      </c>
      <c r="J42" s="11" t="n">
        <f aca="false">IF(E42="",1,IFERROR(INDEX(確率DB!$G$4:$G$27,MATCH(E42,確率DB!$B$4:$B$27,0)),0))</f>
        <v>0.0793</v>
      </c>
      <c r="K42" s="11" t="n">
        <f aca="false">IF(F42="",1,IFERROR(INDEX(確率DB!$G$4:$G$27,MATCH(F42,確率DB!$B$4:$B$27,0)),0))</f>
        <v>1</v>
      </c>
      <c r="L42" s="11" t="n">
        <f aca="false">IF(G42="",1,IFERROR(INDEX(確率DB!$G$4:$G$27,MATCH(G42,確率DB!$B$4:$B$27,0)),0))</f>
        <v>1</v>
      </c>
      <c r="M42" s="11" t="n">
        <f aca="false">IF(H42="",1,IFERROR(INDEX(確率DB!$G$4:$G$27,MATCH(H42,確率DB!$B$4:$B$27,0)),0))</f>
        <v>1</v>
      </c>
      <c r="N42" s="11" t="n">
        <f aca="false">C42*I42*J42*K42*L42*M42</f>
        <v>3.8939472E-016</v>
      </c>
      <c r="O42" s="44" t="s">
        <v>227</v>
      </c>
    </row>
    <row r="43" customFormat="false" ht="15" hidden="false" customHeight="false" outlineLevel="0" collapsed="false">
      <c r="A43" s="33" t="n">
        <v>23</v>
      </c>
      <c r="B43" s="4" t="s">
        <v>97</v>
      </c>
      <c r="C43" s="11" t="n">
        <f aca="false">IF(B43="",0,IFERROR(INDEX(確率DB!$E$4:$E$27,MATCH(B43,確率DB!$B$4:$B$27,0)),0))</f>
        <v>5.28E-010</v>
      </c>
      <c r="D43" s="5" t="s">
        <v>115</v>
      </c>
      <c r="E43" s="5" t="s">
        <v>118</v>
      </c>
      <c r="F43" s="4"/>
      <c r="G43" s="4"/>
      <c r="H43" s="4"/>
      <c r="I43" s="11" t="n">
        <f aca="false">IF(D43="",1,IFERROR(INDEX(確率DB!$G$4:$G$27,MATCH(D43,確率DB!$B$4:$B$27,0)),0))</f>
        <v>9.3E-006</v>
      </c>
      <c r="J43" s="11" t="n">
        <f aca="false">IF(E43="",1,IFERROR(INDEX(確率DB!$G$4:$G$27,MATCH(E43,確率DB!$B$4:$B$27,0)),0))</f>
        <v>0.00069</v>
      </c>
      <c r="K43" s="11" t="n">
        <f aca="false">IF(F43="",1,IFERROR(INDEX(確率DB!$G$4:$G$27,MATCH(F43,確率DB!$B$4:$B$27,0)),0))</f>
        <v>1</v>
      </c>
      <c r="L43" s="11" t="n">
        <f aca="false">IF(G43="",1,IFERROR(INDEX(確率DB!$G$4:$G$27,MATCH(G43,確率DB!$B$4:$B$27,0)),0))</f>
        <v>1</v>
      </c>
      <c r="M43" s="11" t="n">
        <f aca="false">IF(H43="",1,IFERROR(INDEX(確率DB!$G$4:$G$27,MATCH(H43,確率DB!$B$4:$B$27,0)),0))</f>
        <v>1</v>
      </c>
      <c r="N43" s="11" t="n">
        <f aca="false">C43*I43*J43*K43*L43*M43</f>
        <v>3.388176E-018</v>
      </c>
      <c r="O43" s="44" t="s">
        <v>227</v>
      </c>
    </row>
    <row r="44" customFormat="false" ht="15" hidden="false" customHeight="false" outlineLevel="0" collapsed="false">
      <c r="A44" s="33" t="n">
        <v>24</v>
      </c>
      <c r="B44" s="4" t="s">
        <v>97</v>
      </c>
      <c r="C44" s="11" t="n">
        <f aca="false">IF(B44="",0,IFERROR(INDEX(確率DB!$E$4:$E$27,MATCH(B44,確率DB!$B$4:$B$27,0)),0))</f>
        <v>5.28E-010</v>
      </c>
      <c r="D44" s="5" t="s">
        <v>115</v>
      </c>
      <c r="E44" s="5" t="s">
        <v>122</v>
      </c>
      <c r="F44" s="4"/>
      <c r="G44" s="4"/>
      <c r="H44" s="4"/>
      <c r="I44" s="11" t="n">
        <f aca="false">IF(D44="",1,IFERROR(INDEX(確率DB!$G$4:$G$27,MATCH(D44,確率DB!$B$4:$B$27,0)),0))</f>
        <v>9.3E-006</v>
      </c>
      <c r="J44" s="11" t="n">
        <f aca="false">IF(E44="",1,IFERROR(INDEX(確率DB!$G$4:$G$27,MATCH(E44,確率DB!$B$4:$B$27,0)),0))</f>
        <v>0.0022</v>
      </c>
      <c r="K44" s="11" t="n">
        <f aca="false">IF(F44="",1,IFERROR(INDEX(確率DB!$G$4:$G$27,MATCH(F44,確率DB!$B$4:$B$27,0)),0))</f>
        <v>1</v>
      </c>
      <c r="L44" s="11" t="n">
        <f aca="false">IF(G44="",1,IFERROR(INDEX(確率DB!$G$4:$G$27,MATCH(G44,確率DB!$B$4:$B$27,0)),0))</f>
        <v>1</v>
      </c>
      <c r="M44" s="11" t="n">
        <f aca="false">IF(H44="",1,IFERROR(INDEX(確率DB!$G$4:$G$27,MATCH(H44,確率DB!$B$4:$B$27,0)),0))</f>
        <v>1</v>
      </c>
      <c r="N44" s="11" t="n">
        <f aca="false">C44*I44*J44*K44*L44*M44</f>
        <v>1.080288E-017</v>
      </c>
      <c r="O44" s="44" t="s">
        <v>227</v>
      </c>
    </row>
    <row r="45" customFormat="false" ht="26.85" hidden="false" customHeight="false" outlineLevel="0" collapsed="false">
      <c r="A45" s="33" t="n">
        <v>25</v>
      </c>
      <c r="B45" s="4" t="s">
        <v>97</v>
      </c>
      <c r="C45" s="11" t="n">
        <f aca="false">IF(B45="",0,IFERROR(INDEX(確率DB!$E$4:$E$27,MATCH(B45,確率DB!$B$4:$B$27,0)),0))</f>
        <v>5.28E-010</v>
      </c>
      <c r="D45" s="5" t="s">
        <v>137</v>
      </c>
      <c r="E45" s="5" t="s">
        <v>110</v>
      </c>
      <c r="F45" s="4"/>
      <c r="G45" s="4"/>
      <c r="H45" s="4"/>
      <c r="I45" s="11" t="n">
        <f aca="false">IF(D45="",1,IFERROR(INDEX(確率DB!$G$4:$G$27,MATCH(D45,確率DB!$B$4:$B$27,0)),0))</f>
        <v>0.0001</v>
      </c>
      <c r="J45" s="11" t="n">
        <f aca="false">IF(E45="",1,IFERROR(INDEX(確率DB!$G$4:$G$27,MATCH(E45,確率DB!$B$4:$B$27,0)),0))</f>
        <v>0.0793</v>
      </c>
      <c r="K45" s="11" t="n">
        <f aca="false">IF(F45="",1,IFERROR(INDEX(確率DB!$G$4:$G$27,MATCH(F45,確率DB!$B$4:$B$27,0)),0))</f>
        <v>1</v>
      </c>
      <c r="L45" s="11" t="n">
        <f aca="false">IF(G45="",1,IFERROR(INDEX(確率DB!$G$4:$G$27,MATCH(G45,確率DB!$B$4:$B$27,0)),0))</f>
        <v>1</v>
      </c>
      <c r="M45" s="11" t="n">
        <f aca="false">IF(H45="",1,IFERROR(INDEX(確率DB!$G$4:$G$27,MATCH(H45,確率DB!$B$4:$B$27,0)),0))</f>
        <v>1</v>
      </c>
      <c r="N45" s="11" t="n">
        <f aca="false">C45*I45*J45*K45*L45*M45</f>
        <v>4.18704E-015</v>
      </c>
      <c r="O45" s="44" t="s">
        <v>227</v>
      </c>
    </row>
    <row r="46" customFormat="false" ht="26.85" hidden="false" customHeight="false" outlineLevel="0" collapsed="false">
      <c r="A46" s="33" t="n">
        <v>26</v>
      </c>
      <c r="B46" s="4" t="s">
        <v>97</v>
      </c>
      <c r="C46" s="11" t="n">
        <f aca="false">IF(B46="",0,IFERROR(INDEX(確率DB!$E$4:$E$27,MATCH(B46,確率DB!$B$4:$B$27,0)),0))</f>
        <v>5.28E-010</v>
      </c>
      <c r="D46" s="5" t="s">
        <v>137</v>
      </c>
      <c r="E46" s="5" t="s">
        <v>118</v>
      </c>
      <c r="F46" s="4"/>
      <c r="G46" s="4"/>
      <c r="H46" s="4"/>
      <c r="I46" s="11" t="n">
        <f aca="false">IF(D46="",1,IFERROR(INDEX(確率DB!$G$4:$G$27,MATCH(D46,確率DB!$B$4:$B$27,0)),0))</f>
        <v>0.0001</v>
      </c>
      <c r="J46" s="11" t="n">
        <f aca="false">IF(E46="",1,IFERROR(INDEX(確率DB!$G$4:$G$27,MATCH(E46,確率DB!$B$4:$B$27,0)),0))</f>
        <v>0.00069</v>
      </c>
      <c r="K46" s="11" t="n">
        <f aca="false">IF(F46="",1,IFERROR(INDEX(確率DB!$G$4:$G$27,MATCH(F46,確率DB!$B$4:$B$27,0)),0))</f>
        <v>1</v>
      </c>
      <c r="L46" s="11" t="n">
        <f aca="false">IF(G46="",1,IFERROR(INDEX(確率DB!$G$4:$G$27,MATCH(G46,確率DB!$B$4:$B$27,0)),0))</f>
        <v>1</v>
      </c>
      <c r="M46" s="11" t="n">
        <f aca="false">IF(H46="",1,IFERROR(INDEX(確率DB!$G$4:$G$27,MATCH(H46,確率DB!$B$4:$B$27,0)),0))</f>
        <v>1</v>
      </c>
      <c r="N46" s="11" t="n">
        <f aca="false">C46*I46*J46*K46*L46*M46</f>
        <v>3.6432E-017</v>
      </c>
      <c r="O46" s="44" t="s">
        <v>227</v>
      </c>
    </row>
    <row r="47" customFormat="false" ht="26.85" hidden="false" customHeight="false" outlineLevel="0" collapsed="false">
      <c r="A47" s="33" t="n">
        <v>27</v>
      </c>
      <c r="B47" s="4" t="s">
        <v>97</v>
      </c>
      <c r="C47" s="11" t="n">
        <f aca="false">IF(B47="",0,IFERROR(INDEX(確率DB!$E$4:$E$27,MATCH(B47,確率DB!$B$4:$B$27,0)),0))</f>
        <v>5.28E-010</v>
      </c>
      <c r="D47" s="5" t="s">
        <v>137</v>
      </c>
      <c r="E47" s="5" t="s">
        <v>122</v>
      </c>
      <c r="F47" s="4"/>
      <c r="G47" s="4"/>
      <c r="H47" s="4"/>
      <c r="I47" s="11" t="n">
        <f aca="false">IF(D47="",1,IFERROR(INDEX(確率DB!$G$4:$G$27,MATCH(D47,確率DB!$B$4:$B$27,0)),0))</f>
        <v>0.0001</v>
      </c>
      <c r="J47" s="11" t="n">
        <f aca="false">IF(E47="",1,IFERROR(INDEX(確率DB!$G$4:$G$27,MATCH(E47,確率DB!$B$4:$B$27,0)),0))</f>
        <v>0.0022</v>
      </c>
      <c r="K47" s="11" t="n">
        <f aca="false">IF(F47="",1,IFERROR(INDEX(確率DB!$G$4:$G$27,MATCH(F47,確率DB!$B$4:$B$27,0)),0))</f>
        <v>1</v>
      </c>
      <c r="L47" s="11" t="n">
        <f aca="false">IF(G47="",1,IFERROR(INDEX(確率DB!$G$4:$G$27,MATCH(G47,確率DB!$B$4:$B$27,0)),0))</f>
        <v>1</v>
      </c>
      <c r="M47" s="11" t="n">
        <f aca="false">IF(H47="",1,IFERROR(INDEX(確率DB!$G$4:$G$27,MATCH(H47,確率DB!$B$4:$B$27,0)),0))</f>
        <v>1</v>
      </c>
      <c r="N47" s="11" t="n">
        <f aca="false">C47*I47*J47*K47*L47*M47</f>
        <v>1.1616E-016</v>
      </c>
      <c r="O47" s="44" t="s">
        <v>227</v>
      </c>
    </row>
    <row r="48" customFormat="false" ht="26.85" hidden="false" customHeight="false" outlineLevel="0" collapsed="false">
      <c r="A48" s="33" t="n">
        <v>28</v>
      </c>
      <c r="B48" s="4" t="s">
        <v>97</v>
      </c>
      <c r="C48" s="11" t="n">
        <f aca="false">IF(B48="",0,IFERROR(INDEX(確率DB!$E$4:$E$27,MATCH(B48,確率DB!$B$4:$B$27,0)),0))</f>
        <v>5.28E-010</v>
      </c>
      <c r="D48" s="5" t="s">
        <v>139</v>
      </c>
      <c r="E48" s="5" t="s">
        <v>110</v>
      </c>
      <c r="F48" s="4"/>
      <c r="G48" s="4"/>
      <c r="H48" s="4"/>
      <c r="I48" s="11" t="n">
        <f aca="false">IF(D48="",1,IFERROR(INDEX(確率DB!$G$4:$G$27,MATCH(D48,確率DB!$B$4:$B$27,0)),0))</f>
        <v>0.3</v>
      </c>
      <c r="J48" s="11" t="n">
        <f aca="false">IF(E48="",1,IFERROR(INDEX(確率DB!$G$4:$G$27,MATCH(E48,確率DB!$B$4:$B$27,0)),0))</f>
        <v>0.0793</v>
      </c>
      <c r="K48" s="11" t="n">
        <f aca="false">IF(F48="",1,IFERROR(INDEX(確率DB!$G$4:$G$27,MATCH(F48,確率DB!$B$4:$B$27,0)),0))</f>
        <v>1</v>
      </c>
      <c r="L48" s="11" t="n">
        <f aca="false">IF(G48="",1,IFERROR(INDEX(確率DB!$G$4:$G$27,MATCH(G48,確率DB!$B$4:$B$27,0)),0))</f>
        <v>1</v>
      </c>
      <c r="M48" s="11" t="n">
        <f aca="false">IF(H48="",1,IFERROR(INDEX(確率DB!$G$4:$G$27,MATCH(H48,確率DB!$B$4:$B$27,0)),0))</f>
        <v>1</v>
      </c>
      <c r="N48" s="11" t="n">
        <f aca="false">C48*I48*J48*K48*L48*M48</f>
        <v>1.256112E-011</v>
      </c>
      <c r="O48" s="44" t="s">
        <v>227</v>
      </c>
    </row>
    <row r="49" customFormat="false" ht="26.85" hidden="false" customHeight="false" outlineLevel="0" collapsed="false">
      <c r="A49" s="33" t="n">
        <v>29</v>
      </c>
      <c r="B49" s="4" t="s">
        <v>97</v>
      </c>
      <c r="C49" s="11" t="n">
        <f aca="false">IF(B49="",0,IFERROR(INDEX(確率DB!$E$4:$E$27,MATCH(B49,確率DB!$B$4:$B$27,0)),0))</f>
        <v>5.28E-010</v>
      </c>
      <c r="D49" s="5" t="s">
        <v>139</v>
      </c>
      <c r="E49" s="5" t="s">
        <v>118</v>
      </c>
      <c r="F49" s="4"/>
      <c r="G49" s="4"/>
      <c r="H49" s="4"/>
      <c r="I49" s="11" t="n">
        <f aca="false">IF(D49="",1,IFERROR(INDEX(確率DB!$G$4:$G$27,MATCH(D49,確率DB!$B$4:$B$27,0)),0))</f>
        <v>0.3</v>
      </c>
      <c r="J49" s="11" t="n">
        <f aca="false">IF(E49="",1,IFERROR(INDEX(確率DB!$G$4:$G$27,MATCH(E49,確率DB!$B$4:$B$27,0)),0))</f>
        <v>0.00069</v>
      </c>
      <c r="K49" s="11" t="n">
        <f aca="false">IF(F49="",1,IFERROR(INDEX(確率DB!$G$4:$G$27,MATCH(F49,確率DB!$B$4:$B$27,0)),0))</f>
        <v>1</v>
      </c>
      <c r="L49" s="11" t="n">
        <f aca="false">IF(G49="",1,IFERROR(INDEX(確率DB!$G$4:$G$27,MATCH(G49,確率DB!$B$4:$B$27,0)),0))</f>
        <v>1</v>
      </c>
      <c r="M49" s="11" t="n">
        <f aca="false">IF(H49="",1,IFERROR(INDEX(確率DB!$G$4:$G$27,MATCH(H49,確率DB!$B$4:$B$27,0)),0))</f>
        <v>1</v>
      </c>
      <c r="N49" s="11" t="n">
        <f aca="false">C49*I49*J49*K49*L49*M49</f>
        <v>1.09296E-013</v>
      </c>
      <c r="O49" s="44" t="s">
        <v>227</v>
      </c>
    </row>
    <row r="50" customFormat="false" ht="26.85" hidden="false" customHeight="false" outlineLevel="0" collapsed="false">
      <c r="A50" s="33" t="n">
        <v>30</v>
      </c>
      <c r="B50" s="4" t="s">
        <v>97</v>
      </c>
      <c r="C50" s="11" t="n">
        <f aca="false">IF(B50="",0,IFERROR(INDEX(確率DB!$E$4:$E$27,MATCH(B50,確率DB!$B$4:$B$27,0)),0))</f>
        <v>5.28E-010</v>
      </c>
      <c r="D50" s="5" t="s">
        <v>139</v>
      </c>
      <c r="E50" s="5" t="s">
        <v>122</v>
      </c>
      <c r="F50" s="4"/>
      <c r="G50" s="4"/>
      <c r="H50" s="4"/>
      <c r="I50" s="11" t="n">
        <f aca="false">IF(D50="",1,IFERROR(INDEX(確率DB!$G$4:$G$27,MATCH(D50,確率DB!$B$4:$B$27,0)),0))</f>
        <v>0.3</v>
      </c>
      <c r="J50" s="11" t="n">
        <f aca="false">IF(E50="",1,IFERROR(INDEX(確率DB!$G$4:$G$27,MATCH(E50,確率DB!$B$4:$B$27,0)),0))</f>
        <v>0.0022</v>
      </c>
      <c r="K50" s="11" t="n">
        <f aca="false">IF(F50="",1,IFERROR(INDEX(確率DB!$G$4:$G$27,MATCH(F50,確率DB!$B$4:$B$27,0)),0))</f>
        <v>1</v>
      </c>
      <c r="L50" s="11" t="n">
        <f aca="false">IF(G50="",1,IFERROR(INDEX(確率DB!$G$4:$G$27,MATCH(G50,確率DB!$B$4:$B$27,0)),0))</f>
        <v>1</v>
      </c>
      <c r="M50" s="11" t="n">
        <f aca="false">IF(H50="",1,IFERROR(INDEX(確率DB!$G$4:$G$27,MATCH(H50,確率DB!$B$4:$B$27,0)),0))</f>
        <v>1</v>
      </c>
      <c r="N50" s="11" t="n">
        <f aca="false">C50*I50*J50*K50*L50*M50</f>
        <v>3.4848E-013</v>
      </c>
      <c r="O50" s="44" t="s">
        <v>227</v>
      </c>
    </row>
    <row r="51" customFormat="false" ht="15" hidden="false" customHeight="false" outlineLevel="0" collapsed="false">
      <c r="A51" s="33" t="n">
        <v>31</v>
      </c>
      <c r="B51" s="5" t="s">
        <v>122</v>
      </c>
      <c r="C51" s="11" t="n">
        <f aca="false">IF(B51="",0,IFERROR(INDEX(確率DB!$E$4:$E$27,MATCH(B51,確率DB!$B$4:$B$27,0)),0))</f>
        <v>3.6E-006</v>
      </c>
      <c r="D51" s="5" t="s">
        <v>108</v>
      </c>
      <c r="E51" s="5" t="s">
        <v>110</v>
      </c>
      <c r="F51" s="4"/>
      <c r="G51" s="4"/>
      <c r="H51" s="4"/>
      <c r="I51" s="11" t="n">
        <f aca="false">IF(D51="",1,IFERROR(INDEX(確率DB!$G$4:$G$27,MATCH(D51,確率DB!$B$4:$B$27,0)),0))</f>
        <v>0.0685</v>
      </c>
      <c r="J51" s="11" t="n">
        <f aca="false">IF(E51="",1,IFERROR(INDEX(確率DB!$G$4:$G$27,MATCH(E51,確率DB!$B$4:$B$27,0)),0))</f>
        <v>0.0793</v>
      </c>
      <c r="K51" s="11" t="n">
        <f aca="false">IF(F51="",1,IFERROR(INDEX(確率DB!$G$4:$G$27,MATCH(F51,確率DB!$B$4:$B$27,0)),0))</f>
        <v>1</v>
      </c>
      <c r="L51" s="11" t="n">
        <f aca="false">IF(G51="",1,IFERROR(INDEX(確率DB!$G$4:$G$27,MATCH(G51,確率DB!$B$4:$B$27,0)),0))</f>
        <v>1</v>
      </c>
      <c r="M51" s="11" t="n">
        <f aca="false">IF(H51="",1,IFERROR(INDEX(確率DB!$G$4:$G$27,MATCH(H51,確率DB!$B$4:$B$27,0)),0))</f>
        <v>1</v>
      </c>
      <c r="N51" s="11" t="n">
        <f aca="false">C51*I51*J51*K51*L51*M51</f>
        <v>1.955538E-008</v>
      </c>
      <c r="O51" s="44" t="s">
        <v>227</v>
      </c>
    </row>
    <row r="52" customFormat="false" ht="15" hidden="false" customHeight="false" outlineLevel="0" collapsed="false">
      <c r="A52" s="33" t="n">
        <v>32</v>
      </c>
      <c r="B52" s="5" t="s">
        <v>122</v>
      </c>
      <c r="C52" s="11" t="n">
        <f aca="false">IF(B52="",0,IFERROR(INDEX(確率DB!$E$4:$E$27,MATCH(B52,確率DB!$B$4:$B$27,0)),0))</f>
        <v>3.6E-006</v>
      </c>
      <c r="D52" s="5" t="s">
        <v>108</v>
      </c>
      <c r="E52" s="5" t="s">
        <v>118</v>
      </c>
      <c r="F52" s="4"/>
      <c r="G52" s="4"/>
      <c r="H52" s="4"/>
      <c r="I52" s="11" t="n">
        <f aca="false">IF(D52="",1,IFERROR(INDEX(確率DB!$G$4:$G$27,MATCH(D52,確率DB!$B$4:$B$27,0)),0))</f>
        <v>0.0685</v>
      </c>
      <c r="J52" s="11" t="n">
        <f aca="false">IF(E52="",1,IFERROR(INDEX(確率DB!$G$4:$G$27,MATCH(E52,確率DB!$B$4:$B$27,0)),0))</f>
        <v>0.00069</v>
      </c>
      <c r="K52" s="11" t="n">
        <f aca="false">IF(F52="",1,IFERROR(INDEX(確率DB!$G$4:$G$27,MATCH(F52,確率DB!$B$4:$B$27,0)),0))</f>
        <v>1</v>
      </c>
      <c r="L52" s="11" t="n">
        <f aca="false">IF(G52="",1,IFERROR(INDEX(確率DB!$G$4:$G$27,MATCH(G52,確率DB!$B$4:$B$27,0)),0))</f>
        <v>1</v>
      </c>
      <c r="M52" s="11" t="n">
        <f aca="false">IF(H52="",1,IFERROR(INDEX(確率DB!$G$4:$G$27,MATCH(H52,確率DB!$B$4:$B$27,0)),0))</f>
        <v>1</v>
      </c>
      <c r="N52" s="11" t="n">
        <f aca="false">C52*I52*J52*K52*L52*M52</f>
        <v>1.70154E-010</v>
      </c>
      <c r="O52" s="44" t="s">
        <v>227</v>
      </c>
    </row>
    <row r="53" customFormat="false" ht="15" hidden="false" customHeight="false" outlineLevel="0" collapsed="false">
      <c r="A53" s="33" t="n">
        <v>33</v>
      </c>
      <c r="B53" s="5" t="s">
        <v>122</v>
      </c>
      <c r="C53" s="11" t="n">
        <f aca="false">IF(B53="",0,IFERROR(INDEX(確率DB!$E$4:$E$27,MATCH(B53,確率DB!$B$4:$B$27,0)),0))</f>
        <v>3.6E-006</v>
      </c>
      <c r="D53" s="5" t="s">
        <v>108</v>
      </c>
      <c r="E53" s="5" t="s">
        <v>122</v>
      </c>
      <c r="F53" s="4"/>
      <c r="G53" s="4"/>
      <c r="H53" s="4"/>
      <c r="I53" s="11" t="n">
        <f aca="false">IF(D53="",1,IFERROR(INDEX(確率DB!$G$4:$G$27,MATCH(D53,確率DB!$B$4:$B$27,0)),0))</f>
        <v>0.0685</v>
      </c>
      <c r="J53" s="11" t="n">
        <f aca="false">IF(E53="",1,IFERROR(INDEX(確率DB!$G$4:$G$27,MATCH(E53,確率DB!$B$4:$B$27,0)),0))</f>
        <v>0.0022</v>
      </c>
      <c r="K53" s="11" t="n">
        <f aca="false">IF(F53="",1,IFERROR(INDEX(確率DB!$G$4:$G$27,MATCH(F53,確率DB!$B$4:$B$27,0)),0))</f>
        <v>1</v>
      </c>
      <c r="L53" s="11" t="n">
        <f aca="false">IF(G53="",1,IFERROR(INDEX(確率DB!$G$4:$G$27,MATCH(G53,確率DB!$B$4:$B$27,0)),0))</f>
        <v>1</v>
      </c>
      <c r="M53" s="11" t="n">
        <f aca="false">IF(H53="",1,IFERROR(INDEX(確率DB!$G$4:$G$27,MATCH(H53,確率DB!$B$4:$B$27,0)),0))</f>
        <v>1</v>
      </c>
      <c r="N53" s="11" t="n">
        <f aca="false">C53*I53*J53*K53*L53*M53</f>
        <v>5.4252E-010</v>
      </c>
      <c r="O53" s="44" t="s">
        <v>227</v>
      </c>
    </row>
    <row r="54" customFormat="false" ht="15" hidden="false" customHeight="false" outlineLevel="0" collapsed="false">
      <c r="A54" s="33" t="n">
        <v>34</v>
      </c>
      <c r="B54" s="5" t="s">
        <v>122</v>
      </c>
      <c r="C54" s="11" t="n">
        <f aca="false">IF(B54="",0,IFERROR(INDEX(確率DB!$E$4:$E$27,MATCH(B54,確率DB!$B$4:$B$27,0)),0))</f>
        <v>3.6E-006</v>
      </c>
      <c r="D54" s="4" t="s">
        <v>97</v>
      </c>
      <c r="E54" s="5" t="s">
        <v>110</v>
      </c>
      <c r="F54" s="4"/>
      <c r="G54" s="4"/>
      <c r="H54" s="4"/>
      <c r="I54" s="11" t="n">
        <f aca="false">IF(D54="",1,IFERROR(INDEX(確率DB!$G$4:$G$27,MATCH(D54,確率DB!$B$4:$B$27,0)),0))</f>
        <v>1.94E-007</v>
      </c>
      <c r="J54" s="11" t="n">
        <f aca="false">IF(E54="",1,IFERROR(INDEX(確率DB!$G$4:$G$27,MATCH(E54,確率DB!$B$4:$B$27,0)),0))</f>
        <v>0.0793</v>
      </c>
      <c r="K54" s="11" t="n">
        <f aca="false">IF(F54="",1,IFERROR(INDEX(確率DB!$G$4:$G$27,MATCH(F54,確率DB!$B$4:$B$27,0)),0))</f>
        <v>1</v>
      </c>
      <c r="L54" s="11" t="n">
        <f aca="false">IF(G54="",1,IFERROR(INDEX(確率DB!$G$4:$G$27,MATCH(G54,確率DB!$B$4:$B$27,0)),0))</f>
        <v>1</v>
      </c>
      <c r="M54" s="11" t="n">
        <f aca="false">IF(H54="",1,IFERROR(INDEX(確率DB!$G$4:$G$27,MATCH(H54,確率DB!$B$4:$B$27,0)),0))</f>
        <v>1</v>
      </c>
      <c r="N54" s="11" t="n">
        <f aca="false">C54*I54*J54*K54*L54*M54</f>
        <v>5.538312E-014</v>
      </c>
      <c r="O54" s="44" t="s">
        <v>227</v>
      </c>
    </row>
    <row r="55" customFormat="false" ht="15" hidden="false" customHeight="false" outlineLevel="0" collapsed="false">
      <c r="A55" s="33" t="n">
        <v>35</v>
      </c>
      <c r="B55" s="5" t="s">
        <v>122</v>
      </c>
      <c r="C55" s="11" t="n">
        <f aca="false">IF(B55="",0,IFERROR(INDEX(確率DB!$E$4:$E$27,MATCH(B55,確率DB!$B$4:$B$27,0)),0))</f>
        <v>3.6E-006</v>
      </c>
      <c r="D55" s="4" t="s">
        <v>97</v>
      </c>
      <c r="E55" s="5" t="s">
        <v>118</v>
      </c>
      <c r="F55" s="4"/>
      <c r="G55" s="4"/>
      <c r="H55" s="4"/>
      <c r="I55" s="11" t="n">
        <f aca="false">IF(D55="",1,IFERROR(INDEX(確率DB!$G$4:$G$27,MATCH(D55,確率DB!$B$4:$B$27,0)),0))</f>
        <v>1.94E-007</v>
      </c>
      <c r="J55" s="11" t="n">
        <f aca="false">IF(E55="",1,IFERROR(INDEX(確率DB!$G$4:$G$27,MATCH(E55,確率DB!$B$4:$B$27,0)),0))</f>
        <v>0.00069</v>
      </c>
      <c r="K55" s="11" t="n">
        <f aca="false">IF(F55="",1,IFERROR(INDEX(確率DB!$G$4:$G$27,MATCH(F55,確率DB!$B$4:$B$27,0)),0))</f>
        <v>1</v>
      </c>
      <c r="L55" s="11" t="n">
        <f aca="false">IF(G55="",1,IFERROR(INDEX(確率DB!$G$4:$G$27,MATCH(G55,確率DB!$B$4:$B$27,0)),0))</f>
        <v>1</v>
      </c>
      <c r="M55" s="11" t="n">
        <f aca="false">IF(H55="",1,IFERROR(INDEX(確率DB!$G$4:$G$27,MATCH(H55,確率DB!$B$4:$B$27,0)),0))</f>
        <v>1</v>
      </c>
      <c r="N55" s="11" t="n">
        <f aca="false">C55*I55*J55*K55*L55*M55</f>
        <v>4.81896E-016</v>
      </c>
      <c r="O55" s="44" t="s">
        <v>227</v>
      </c>
    </row>
    <row r="56" customFormat="false" ht="15" hidden="false" customHeight="false" outlineLevel="0" collapsed="false">
      <c r="A56" s="33" t="n">
        <v>36</v>
      </c>
      <c r="B56" s="5" t="s">
        <v>122</v>
      </c>
      <c r="C56" s="11" t="n">
        <f aca="false">IF(B56="",0,IFERROR(INDEX(確率DB!$E$4:$E$27,MATCH(B56,確率DB!$B$4:$B$27,0)),0))</f>
        <v>3.6E-006</v>
      </c>
      <c r="D56" s="4" t="s">
        <v>97</v>
      </c>
      <c r="E56" s="5" t="s">
        <v>122</v>
      </c>
      <c r="F56" s="4"/>
      <c r="G56" s="4"/>
      <c r="H56" s="4"/>
      <c r="I56" s="11" t="n">
        <f aca="false">IF(D56="",1,IFERROR(INDEX(確率DB!$G$4:$G$27,MATCH(D56,確率DB!$B$4:$B$27,0)),0))</f>
        <v>1.94E-007</v>
      </c>
      <c r="J56" s="11" t="n">
        <f aca="false">IF(E56="",1,IFERROR(INDEX(確率DB!$G$4:$G$27,MATCH(E56,確率DB!$B$4:$B$27,0)),0))</f>
        <v>0.0022</v>
      </c>
      <c r="K56" s="11" t="n">
        <f aca="false">IF(F56="",1,IFERROR(INDEX(確率DB!$G$4:$G$27,MATCH(F56,確率DB!$B$4:$B$27,0)),0))</f>
        <v>1</v>
      </c>
      <c r="L56" s="11" t="n">
        <f aca="false">IF(G56="",1,IFERROR(INDEX(確率DB!$G$4:$G$27,MATCH(G56,確率DB!$B$4:$B$27,0)),0))</f>
        <v>1</v>
      </c>
      <c r="M56" s="11" t="n">
        <f aca="false">IF(H56="",1,IFERROR(INDEX(確率DB!$G$4:$G$27,MATCH(H56,確率DB!$B$4:$B$27,0)),0))</f>
        <v>1</v>
      </c>
      <c r="N56" s="11" t="n">
        <f aca="false">C56*I56*J56*K56*L56*M56</f>
        <v>1.53648E-015</v>
      </c>
      <c r="O56" s="44" t="s">
        <v>227</v>
      </c>
    </row>
    <row r="57" customFormat="false" ht="15" hidden="false" customHeight="false" outlineLevel="0" collapsed="false">
      <c r="A57" s="33" t="n">
        <v>37</v>
      </c>
      <c r="B57" s="5" t="s">
        <v>122</v>
      </c>
      <c r="C57" s="11" t="n">
        <f aca="false">IF(B57="",0,IFERROR(INDEX(確率DB!$E$4:$E$27,MATCH(B57,確率DB!$B$4:$B$27,0)),0))</f>
        <v>3.6E-006</v>
      </c>
      <c r="D57" s="5" t="s">
        <v>115</v>
      </c>
      <c r="E57" s="5" t="s">
        <v>110</v>
      </c>
      <c r="F57" s="4"/>
      <c r="G57" s="4"/>
      <c r="H57" s="4"/>
      <c r="I57" s="11" t="n">
        <f aca="false">IF(D57="",1,IFERROR(INDEX(確率DB!$G$4:$G$27,MATCH(D57,確率DB!$B$4:$B$27,0)),0))</f>
        <v>9.3E-006</v>
      </c>
      <c r="J57" s="11" t="n">
        <f aca="false">IF(E57="",1,IFERROR(INDEX(確率DB!$G$4:$G$27,MATCH(E57,確率DB!$B$4:$B$27,0)),0))</f>
        <v>0.0793</v>
      </c>
      <c r="K57" s="11" t="n">
        <f aca="false">IF(F57="",1,IFERROR(INDEX(確率DB!$G$4:$G$27,MATCH(F57,確率DB!$B$4:$B$27,0)),0))</f>
        <v>1</v>
      </c>
      <c r="L57" s="11" t="n">
        <f aca="false">IF(G57="",1,IFERROR(INDEX(確率DB!$G$4:$G$27,MATCH(G57,確率DB!$B$4:$B$27,0)),0))</f>
        <v>1</v>
      </c>
      <c r="M57" s="11" t="n">
        <f aca="false">IF(H57="",1,IFERROR(INDEX(確率DB!$G$4:$G$27,MATCH(H57,確率DB!$B$4:$B$27,0)),0))</f>
        <v>1</v>
      </c>
      <c r="N57" s="11" t="n">
        <f aca="false">C57*I57*J57*K57*L57*M57</f>
        <v>2.654964E-012</v>
      </c>
      <c r="O57" s="44" t="s">
        <v>227</v>
      </c>
    </row>
    <row r="58" customFormat="false" ht="15" hidden="false" customHeight="false" outlineLevel="0" collapsed="false">
      <c r="A58" s="33" t="n">
        <v>38</v>
      </c>
      <c r="B58" s="5" t="s">
        <v>122</v>
      </c>
      <c r="C58" s="11" t="n">
        <f aca="false">IF(B58="",0,IFERROR(INDEX(確率DB!$E$4:$E$27,MATCH(B58,確率DB!$B$4:$B$27,0)),0))</f>
        <v>3.6E-006</v>
      </c>
      <c r="D58" s="5" t="s">
        <v>115</v>
      </c>
      <c r="E58" s="5" t="s">
        <v>118</v>
      </c>
      <c r="F58" s="4"/>
      <c r="G58" s="4"/>
      <c r="H58" s="4"/>
      <c r="I58" s="11" t="n">
        <f aca="false">IF(D58="",1,IFERROR(INDEX(確率DB!$G$4:$G$27,MATCH(D58,確率DB!$B$4:$B$27,0)),0))</f>
        <v>9.3E-006</v>
      </c>
      <c r="J58" s="11" t="n">
        <f aca="false">IF(E58="",1,IFERROR(INDEX(確率DB!$G$4:$G$27,MATCH(E58,確率DB!$B$4:$B$27,0)),0))</f>
        <v>0.00069</v>
      </c>
      <c r="K58" s="11" t="n">
        <f aca="false">IF(F58="",1,IFERROR(INDEX(確率DB!$G$4:$G$27,MATCH(F58,確率DB!$B$4:$B$27,0)),0))</f>
        <v>1</v>
      </c>
      <c r="L58" s="11" t="n">
        <f aca="false">IF(G58="",1,IFERROR(INDEX(確率DB!$G$4:$G$27,MATCH(G58,確率DB!$B$4:$B$27,0)),0))</f>
        <v>1</v>
      </c>
      <c r="M58" s="11" t="n">
        <f aca="false">IF(H58="",1,IFERROR(INDEX(確率DB!$G$4:$G$27,MATCH(H58,確率DB!$B$4:$B$27,0)),0))</f>
        <v>1</v>
      </c>
      <c r="N58" s="11" t="n">
        <f aca="false">C58*I58*J58*K58*L58*M58</f>
        <v>2.31012E-014</v>
      </c>
      <c r="O58" s="44" t="s">
        <v>227</v>
      </c>
    </row>
    <row r="59" customFormat="false" ht="15" hidden="false" customHeight="false" outlineLevel="0" collapsed="false">
      <c r="A59" s="33" t="n">
        <v>39</v>
      </c>
      <c r="B59" s="5" t="s">
        <v>122</v>
      </c>
      <c r="C59" s="11" t="n">
        <f aca="false">IF(B59="",0,IFERROR(INDEX(確率DB!$E$4:$E$27,MATCH(B59,確率DB!$B$4:$B$27,0)),0))</f>
        <v>3.6E-006</v>
      </c>
      <c r="D59" s="5" t="s">
        <v>115</v>
      </c>
      <c r="E59" s="5" t="s">
        <v>122</v>
      </c>
      <c r="F59" s="4"/>
      <c r="G59" s="4"/>
      <c r="H59" s="4"/>
      <c r="I59" s="11" t="n">
        <f aca="false">IF(D59="",1,IFERROR(INDEX(確率DB!$G$4:$G$27,MATCH(D59,確率DB!$B$4:$B$27,0)),0))</f>
        <v>9.3E-006</v>
      </c>
      <c r="J59" s="11" t="n">
        <f aca="false">IF(E59="",1,IFERROR(INDEX(確率DB!$G$4:$G$27,MATCH(E59,確率DB!$B$4:$B$27,0)),0))</f>
        <v>0.0022</v>
      </c>
      <c r="K59" s="11" t="n">
        <f aca="false">IF(F59="",1,IFERROR(INDEX(確率DB!$G$4:$G$27,MATCH(F59,確率DB!$B$4:$B$27,0)),0))</f>
        <v>1</v>
      </c>
      <c r="L59" s="11" t="n">
        <f aca="false">IF(G59="",1,IFERROR(INDEX(確率DB!$G$4:$G$27,MATCH(G59,確率DB!$B$4:$B$27,0)),0))</f>
        <v>1</v>
      </c>
      <c r="M59" s="11" t="n">
        <f aca="false">IF(H59="",1,IFERROR(INDEX(確率DB!$G$4:$G$27,MATCH(H59,確率DB!$B$4:$B$27,0)),0))</f>
        <v>1</v>
      </c>
      <c r="N59" s="11" t="n">
        <f aca="false">C59*I59*J59*K59*L59*M59</f>
        <v>7.3656E-014</v>
      </c>
      <c r="O59" s="44" t="s">
        <v>227</v>
      </c>
    </row>
    <row r="60" customFormat="false" ht="26.85" hidden="false" customHeight="false" outlineLevel="0" collapsed="false">
      <c r="A60" s="33" t="n">
        <v>40</v>
      </c>
      <c r="B60" s="5" t="s">
        <v>122</v>
      </c>
      <c r="C60" s="11" t="n">
        <f aca="false">IF(B60="",0,IFERROR(INDEX(確率DB!$E$4:$E$27,MATCH(B60,確率DB!$B$4:$B$27,0)),0))</f>
        <v>3.6E-006</v>
      </c>
      <c r="D60" s="5" t="s">
        <v>137</v>
      </c>
      <c r="E60" s="5" t="s">
        <v>110</v>
      </c>
      <c r="F60" s="4"/>
      <c r="G60" s="4"/>
      <c r="H60" s="4"/>
      <c r="I60" s="11" t="n">
        <f aca="false">IF(D60="",1,IFERROR(INDEX(確率DB!$G$4:$G$27,MATCH(D60,確率DB!$B$4:$B$27,0)),0))</f>
        <v>0.0001</v>
      </c>
      <c r="J60" s="11" t="n">
        <f aca="false">IF(E60="",1,IFERROR(INDEX(確率DB!$G$4:$G$27,MATCH(E60,確率DB!$B$4:$B$27,0)),0))</f>
        <v>0.0793</v>
      </c>
      <c r="K60" s="11" t="n">
        <f aca="false">IF(F60="",1,IFERROR(INDEX(確率DB!$G$4:$G$27,MATCH(F60,確率DB!$B$4:$B$27,0)),0))</f>
        <v>1</v>
      </c>
      <c r="L60" s="11" t="n">
        <f aca="false">IF(G60="",1,IFERROR(INDEX(確率DB!$G$4:$G$27,MATCH(G60,確率DB!$B$4:$B$27,0)),0))</f>
        <v>1</v>
      </c>
      <c r="M60" s="11" t="n">
        <f aca="false">IF(H60="",1,IFERROR(INDEX(確率DB!$G$4:$G$27,MATCH(H60,確率DB!$B$4:$B$27,0)),0))</f>
        <v>1</v>
      </c>
      <c r="N60" s="11" t="n">
        <f aca="false">C60*I60*J60*K60*L60*M60</f>
        <v>2.8548E-011</v>
      </c>
      <c r="O60" s="44" t="s">
        <v>227</v>
      </c>
    </row>
    <row r="61" customFormat="false" ht="26.85" hidden="false" customHeight="false" outlineLevel="0" collapsed="false">
      <c r="A61" s="33" t="n">
        <v>41</v>
      </c>
      <c r="B61" s="5" t="s">
        <v>122</v>
      </c>
      <c r="C61" s="11" t="n">
        <f aca="false">IF(B61="",0,IFERROR(INDEX(確率DB!$E$4:$E$27,MATCH(B61,確率DB!$B$4:$B$27,0)),0))</f>
        <v>3.6E-006</v>
      </c>
      <c r="D61" s="5" t="s">
        <v>137</v>
      </c>
      <c r="E61" s="5" t="s">
        <v>118</v>
      </c>
      <c r="F61" s="4"/>
      <c r="G61" s="4"/>
      <c r="H61" s="4"/>
      <c r="I61" s="11" t="n">
        <f aca="false">IF(D61="",1,IFERROR(INDEX(確率DB!$G$4:$G$27,MATCH(D61,確率DB!$B$4:$B$27,0)),0))</f>
        <v>0.0001</v>
      </c>
      <c r="J61" s="11" t="n">
        <f aca="false">IF(E61="",1,IFERROR(INDEX(確率DB!$G$4:$G$27,MATCH(E61,確率DB!$B$4:$B$27,0)),0))</f>
        <v>0.00069</v>
      </c>
      <c r="K61" s="11" t="n">
        <f aca="false">IF(F61="",1,IFERROR(INDEX(確率DB!$G$4:$G$27,MATCH(F61,確率DB!$B$4:$B$27,0)),0))</f>
        <v>1</v>
      </c>
      <c r="L61" s="11" t="n">
        <f aca="false">IF(G61="",1,IFERROR(INDEX(確率DB!$G$4:$G$27,MATCH(G61,確率DB!$B$4:$B$27,0)),0))</f>
        <v>1</v>
      </c>
      <c r="M61" s="11" t="n">
        <f aca="false">IF(H61="",1,IFERROR(INDEX(確率DB!$G$4:$G$27,MATCH(H61,確率DB!$B$4:$B$27,0)),0))</f>
        <v>1</v>
      </c>
      <c r="N61" s="11" t="n">
        <f aca="false">C61*I61*J61*K61*L61*M61</f>
        <v>2.484E-013</v>
      </c>
      <c r="O61" s="44" t="s">
        <v>227</v>
      </c>
    </row>
    <row r="62" customFormat="false" ht="26.85" hidden="false" customHeight="false" outlineLevel="0" collapsed="false">
      <c r="A62" s="33" t="n">
        <v>42</v>
      </c>
      <c r="B62" s="5" t="s">
        <v>122</v>
      </c>
      <c r="C62" s="11" t="n">
        <f aca="false">IF(B62="",0,IFERROR(INDEX(確率DB!$E$4:$E$27,MATCH(B62,確率DB!$B$4:$B$27,0)),0))</f>
        <v>3.6E-006</v>
      </c>
      <c r="D62" s="5" t="s">
        <v>137</v>
      </c>
      <c r="E62" s="5" t="s">
        <v>122</v>
      </c>
      <c r="F62" s="4"/>
      <c r="G62" s="4"/>
      <c r="H62" s="4"/>
      <c r="I62" s="11" t="n">
        <f aca="false">IF(D62="",1,IFERROR(INDEX(確率DB!$G$4:$G$27,MATCH(D62,確率DB!$B$4:$B$27,0)),0))</f>
        <v>0.0001</v>
      </c>
      <c r="J62" s="11" t="n">
        <f aca="false">IF(E62="",1,IFERROR(INDEX(確率DB!$G$4:$G$27,MATCH(E62,確率DB!$B$4:$B$27,0)),0))</f>
        <v>0.0022</v>
      </c>
      <c r="K62" s="11" t="n">
        <f aca="false">IF(F62="",1,IFERROR(INDEX(確率DB!$G$4:$G$27,MATCH(F62,確率DB!$B$4:$B$27,0)),0))</f>
        <v>1</v>
      </c>
      <c r="L62" s="11" t="n">
        <f aca="false">IF(G62="",1,IFERROR(INDEX(確率DB!$G$4:$G$27,MATCH(G62,確率DB!$B$4:$B$27,0)),0))</f>
        <v>1</v>
      </c>
      <c r="M62" s="11" t="n">
        <f aca="false">IF(H62="",1,IFERROR(INDEX(確率DB!$G$4:$G$27,MATCH(H62,確率DB!$B$4:$B$27,0)),0))</f>
        <v>1</v>
      </c>
      <c r="N62" s="11" t="n">
        <f aca="false">C62*I62*J62*K62*L62*M62</f>
        <v>7.92E-013</v>
      </c>
      <c r="O62" s="44" t="s">
        <v>227</v>
      </c>
    </row>
    <row r="63" customFormat="false" ht="26.85" hidden="false" customHeight="false" outlineLevel="0" collapsed="false">
      <c r="A63" s="33" t="n">
        <v>43</v>
      </c>
      <c r="B63" s="5" t="s">
        <v>122</v>
      </c>
      <c r="C63" s="11" t="n">
        <f aca="false">IF(B63="",0,IFERROR(INDEX(確率DB!$E$4:$E$27,MATCH(B63,確率DB!$B$4:$B$27,0)),0))</f>
        <v>3.6E-006</v>
      </c>
      <c r="D63" s="5" t="s">
        <v>139</v>
      </c>
      <c r="E63" s="5" t="s">
        <v>110</v>
      </c>
      <c r="F63" s="4"/>
      <c r="G63" s="4"/>
      <c r="H63" s="4"/>
      <c r="I63" s="11" t="n">
        <f aca="false">IF(D63="",1,IFERROR(INDEX(確率DB!$G$4:$G$27,MATCH(D63,確率DB!$B$4:$B$27,0)),0))</f>
        <v>0.3</v>
      </c>
      <c r="J63" s="11" t="n">
        <f aca="false">IF(E63="",1,IFERROR(INDEX(確率DB!$G$4:$G$27,MATCH(E63,確率DB!$B$4:$B$27,0)),0))</f>
        <v>0.0793</v>
      </c>
      <c r="K63" s="11" t="n">
        <f aca="false">IF(F63="",1,IFERROR(INDEX(確率DB!$G$4:$G$27,MATCH(F63,確率DB!$B$4:$B$27,0)),0))</f>
        <v>1</v>
      </c>
      <c r="L63" s="11" t="n">
        <f aca="false">IF(G63="",1,IFERROR(INDEX(確率DB!$G$4:$G$27,MATCH(G63,確率DB!$B$4:$B$27,0)),0))</f>
        <v>1</v>
      </c>
      <c r="M63" s="11" t="n">
        <f aca="false">IF(H63="",1,IFERROR(INDEX(確率DB!$G$4:$G$27,MATCH(H63,確率DB!$B$4:$B$27,0)),0))</f>
        <v>1</v>
      </c>
      <c r="N63" s="11" t="n">
        <f aca="false">C63*I63*J63*K63*L63*M63</f>
        <v>8.5644E-008</v>
      </c>
      <c r="O63" s="44" t="s">
        <v>227</v>
      </c>
    </row>
    <row r="64" customFormat="false" ht="26.85" hidden="false" customHeight="false" outlineLevel="0" collapsed="false">
      <c r="A64" s="33" t="n">
        <v>44</v>
      </c>
      <c r="B64" s="5" t="s">
        <v>122</v>
      </c>
      <c r="C64" s="11" t="n">
        <f aca="false">IF(B64="",0,IFERROR(INDEX(確率DB!$E$4:$E$27,MATCH(B64,確率DB!$B$4:$B$27,0)),0))</f>
        <v>3.6E-006</v>
      </c>
      <c r="D64" s="5" t="s">
        <v>139</v>
      </c>
      <c r="E64" s="5" t="s">
        <v>118</v>
      </c>
      <c r="F64" s="4"/>
      <c r="G64" s="4"/>
      <c r="H64" s="4"/>
      <c r="I64" s="11" t="n">
        <f aca="false">IF(D64="",1,IFERROR(INDEX(確率DB!$G$4:$G$27,MATCH(D64,確率DB!$B$4:$B$27,0)),0))</f>
        <v>0.3</v>
      </c>
      <c r="J64" s="11" t="n">
        <f aca="false">IF(E64="",1,IFERROR(INDEX(確率DB!$G$4:$G$27,MATCH(E64,確率DB!$B$4:$B$27,0)),0))</f>
        <v>0.00069</v>
      </c>
      <c r="K64" s="11" t="n">
        <f aca="false">IF(F64="",1,IFERROR(INDEX(確率DB!$G$4:$G$27,MATCH(F64,確率DB!$B$4:$B$27,0)),0))</f>
        <v>1</v>
      </c>
      <c r="L64" s="11" t="n">
        <f aca="false">IF(G64="",1,IFERROR(INDEX(確率DB!$G$4:$G$27,MATCH(G64,確率DB!$B$4:$B$27,0)),0))</f>
        <v>1</v>
      </c>
      <c r="M64" s="11" t="n">
        <f aca="false">IF(H64="",1,IFERROR(INDEX(確率DB!$G$4:$G$27,MATCH(H64,確率DB!$B$4:$B$27,0)),0))</f>
        <v>1</v>
      </c>
      <c r="N64" s="11" t="n">
        <f aca="false">C64*I64*J64*K64*L64*M64</f>
        <v>7.452E-010</v>
      </c>
      <c r="O64" s="44" t="s">
        <v>227</v>
      </c>
    </row>
    <row r="65" customFormat="false" ht="26.85" hidden="false" customHeight="false" outlineLevel="0" collapsed="false">
      <c r="A65" s="33" t="n">
        <v>45</v>
      </c>
      <c r="B65" s="5" t="s">
        <v>122</v>
      </c>
      <c r="C65" s="11" t="n">
        <f aca="false">IF(B65="",0,IFERROR(INDEX(確率DB!$E$4:$E$27,MATCH(B65,確率DB!$B$4:$B$27,0)),0))</f>
        <v>3.6E-006</v>
      </c>
      <c r="D65" s="5" t="s">
        <v>139</v>
      </c>
      <c r="E65" s="5" t="s">
        <v>122</v>
      </c>
      <c r="F65" s="4"/>
      <c r="G65" s="4"/>
      <c r="H65" s="4"/>
      <c r="I65" s="11" t="n">
        <f aca="false">IF(D65="",1,IFERROR(INDEX(確率DB!$G$4:$G$27,MATCH(D65,確率DB!$B$4:$B$27,0)),0))</f>
        <v>0.3</v>
      </c>
      <c r="J65" s="11" t="n">
        <f aca="false">IF(E65="",1,IFERROR(INDEX(確率DB!$G$4:$G$27,MATCH(E65,確率DB!$B$4:$B$27,0)),0))</f>
        <v>0.0022</v>
      </c>
      <c r="K65" s="11" t="n">
        <f aca="false">IF(F65="",1,IFERROR(INDEX(確率DB!$G$4:$G$27,MATCH(F65,確率DB!$B$4:$B$27,0)),0))</f>
        <v>1</v>
      </c>
      <c r="L65" s="11" t="n">
        <f aca="false">IF(G65="",1,IFERROR(INDEX(確率DB!$G$4:$G$27,MATCH(G65,確率DB!$B$4:$B$27,0)),0))</f>
        <v>1</v>
      </c>
      <c r="M65" s="11" t="n">
        <f aca="false">IF(H65="",1,IFERROR(INDEX(確率DB!$G$4:$G$27,MATCH(H65,確率DB!$B$4:$B$27,0)),0))</f>
        <v>1</v>
      </c>
      <c r="N65" s="11" t="n">
        <f aca="false">C65*I65*J65*K65*L65*M65</f>
        <v>2.376E-009</v>
      </c>
      <c r="O65" s="44" t="s">
        <v>227</v>
      </c>
    </row>
    <row r="66" customFormat="false" ht="15" hidden="false" customHeight="false" outlineLevel="0" collapsed="false">
      <c r="A66" s="33" t="n">
        <v>46</v>
      </c>
      <c r="B66" s="34"/>
      <c r="C66" s="11" t="n">
        <f aca="false">IF(B66="",0,IFERROR(INDEX(確率DB!$E$4:$E$27,MATCH(B66,確率DB!$B$4:$B$27,0)),0))</f>
        <v>0</v>
      </c>
      <c r="D66" s="34"/>
      <c r="E66" s="34"/>
      <c r="F66" s="34"/>
      <c r="G66" s="34"/>
      <c r="H66" s="34"/>
      <c r="I66" s="11" t="n">
        <f aca="false">IF(D66="",1,IFERROR(INDEX(確率DB!$G$4:$G$27,MATCH(D66,確率DB!$B$4:$B$27,0)),0))</f>
        <v>1</v>
      </c>
      <c r="J66" s="11" t="n">
        <f aca="false">IF(E66="",1,IFERROR(INDEX(確率DB!$G$4:$G$27,MATCH(E66,確率DB!$B$4:$B$27,0)),0))</f>
        <v>1</v>
      </c>
      <c r="K66" s="11" t="n">
        <f aca="false">IF(F66="",1,IFERROR(INDEX(確率DB!$G$4:$G$27,MATCH(F66,確率DB!$B$4:$B$27,0)),0))</f>
        <v>1</v>
      </c>
      <c r="L66" s="11" t="n">
        <f aca="false">IF(G66="",1,IFERROR(INDEX(確率DB!$G$4:$G$27,MATCH(G66,確率DB!$B$4:$B$27,0)),0))</f>
        <v>1</v>
      </c>
      <c r="M66" s="11" t="n">
        <f aca="false">IF(H66="",1,IFERROR(INDEX(確率DB!$G$4:$G$27,MATCH(H66,確率DB!$B$4:$B$27,0)),0))</f>
        <v>1</v>
      </c>
      <c r="N66" s="11" t="n">
        <f aca="false">C66*I66*J66*K66*L66*M66</f>
        <v>0</v>
      </c>
      <c r="O66" s="23"/>
    </row>
    <row r="67" customFormat="false" ht="15" hidden="false" customHeight="false" outlineLevel="0" collapsed="false">
      <c r="A67" s="33" t="n">
        <v>47</v>
      </c>
      <c r="B67" s="34"/>
      <c r="C67" s="11" t="n">
        <f aca="false">IF(B67="",0,IFERROR(INDEX(確率DB!$E$4:$E$27,MATCH(B67,確率DB!$B$4:$B$27,0)),0))</f>
        <v>0</v>
      </c>
      <c r="D67" s="34"/>
      <c r="E67" s="34"/>
      <c r="F67" s="34"/>
      <c r="G67" s="34"/>
      <c r="H67" s="34"/>
      <c r="I67" s="11" t="n">
        <f aca="false">IF(D67="",1,IFERROR(INDEX(確率DB!$G$4:$G$27,MATCH(D67,確率DB!$B$4:$B$27,0)),0))</f>
        <v>1</v>
      </c>
      <c r="J67" s="11" t="n">
        <f aca="false">IF(E67="",1,IFERROR(INDEX(確率DB!$G$4:$G$27,MATCH(E67,確率DB!$B$4:$B$27,0)),0))</f>
        <v>1</v>
      </c>
      <c r="K67" s="11" t="n">
        <f aca="false">IF(F67="",1,IFERROR(INDEX(確率DB!$G$4:$G$27,MATCH(F67,確率DB!$B$4:$B$27,0)),0))</f>
        <v>1</v>
      </c>
      <c r="L67" s="11" t="n">
        <f aca="false">IF(G67="",1,IFERROR(INDEX(確率DB!$G$4:$G$27,MATCH(G67,確率DB!$B$4:$B$27,0)),0))</f>
        <v>1</v>
      </c>
      <c r="M67" s="11" t="n">
        <f aca="false">IF(H67="",1,IFERROR(INDEX(確率DB!$G$4:$G$27,MATCH(H67,確率DB!$B$4:$B$27,0)),0))</f>
        <v>1</v>
      </c>
      <c r="N67" s="11" t="n">
        <f aca="false">C67*I67*J67*K67*L67*M67</f>
        <v>0</v>
      </c>
      <c r="O67" s="23"/>
    </row>
    <row r="68" customFormat="false" ht="15" hidden="false" customHeight="false" outlineLevel="0" collapsed="false">
      <c r="A68" s="33" t="n">
        <v>48</v>
      </c>
      <c r="B68" s="34"/>
      <c r="C68" s="11" t="n">
        <f aca="false">IF(B68="",0,IFERROR(INDEX(確率DB!$E$4:$E$27,MATCH(B68,確率DB!$B$4:$B$27,0)),0))</f>
        <v>0</v>
      </c>
      <c r="D68" s="34"/>
      <c r="E68" s="34"/>
      <c r="F68" s="34"/>
      <c r="G68" s="34"/>
      <c r="H68" s="34"/>
      <c r="I68" s="11" t="n">
        <f aca="false">IF(D68="",1,IFERROR(INDEX(確率DB!$G$4:$G$27,MATCH(D68,確率DB!$B$4:$B$27,0)),0))</f>
        <v>1</v>
      </c>
      <c r="J68" s="11" t="n">
        <f aca="false">IF(E68="",1,IFERROR(INDEX(確率DB!$G$4:$G$27,MATCH(E68,確率DB!$B$4:$B$27,0)),0))</f>
        <v>1</v>
      </c>
      <c r="K68" s="11" t="n">
        <f aca="false">IF(F68="",1,IFERROR(INDEX(確率DB!$G$4:$G$27,MATCH(F68,確率DB!$B$4:$B$27,0)),0))</f>
        <v>1</v>
      </c>
      <c r="L68" s="11" t="n">
        <f aca="false">IF(G68="",1,IFERROR(INDEX(確率DB!$G$4:$G$27,MATCH(G68,確率DB!$B$4:$B$27,0)),0))</f>
        <v>1</v>
      </c>
      <c r="M68" s="11" t="n">
        <f aca="false">IF(H68="",1,IFERROR(INDEX(確率DB!$G$4:$G$27,MATCH(H68,確率DB!$B$4:$B$27,0)),0))</f>
        <v>1</v>
      </c>
      <c r="N68" s="11" t="n">
        <f aca="false">C68*I68*J68*K68*L68*M68</f>
        <v>0</v>
      </c>
      <c r="O68" s="23"/>
    </row>
    <row r="69" customFormat="false" ht="15" hidden="false" customHeight="false" outlineLevel="0" collapsed="false">
      <c r="A69" s="33" t="n">
        <v>49</v>
      </c>
      <c r="B69" s="34"/>
      <c r="C69" s="11" t="n">
        <f aca="false">IF(B69="",0,IFERROR(INDEX(確率DB!$E$4:$E$27,MATCH(B69,確率DB!$B$4:$B$27,0)),0))</f>
        <v>0</v>
      </c>
      <c r="D69" s="34"/>
      <c r="E69" s="34"/>
      <c r="F69" s="34"/>
      <c r="G69" s="34"/>
      <c r="H69" s="34"/>
      <c r="I69" s="11" t="n">
        <f aca="false">IF(D69="",1,IFERROR(INDEX(確率DB!$G$4:$G$27,MATCH(D69,確率DB!$B$4:$B$27,0)),0))</f>
        <v>1</v>
      </c>
      <c r="J69" s="11" t="n">
        <f aca="false">IF(E69="",1,IFERROR(INDEX(確率DB!$G$4:$G$27,MATCH(E69,確率DB!$B$4:$B$27,0)),0))</f>
        <v>1</v>
      </c>
      <c r="K69" s="11" t="n">
        <f aca="false">IF(F69="",1,IFERROR(INDEX(確率DB!$G$4:$G$27,MATCH(F69,確率DB!$B$4:$B$27,0)),0))</f>
        <v>1</v>
      </c>
      <c r="L69" s="11" t="n">
        <f aca="false">IF(G69="",1,IFERROR(INDEX(確率DB!$G$4:$G$27,MATCH(G69,確率DB!$B$4:$B$27,0)),0))</f>
        <v>1</v>
      </c>
      <c r="M69" s="11" t="n">
        <f aca="false">IF(H69="",1,IFERROR(INDEX(確率DB!$G$4:$G$27,MATCH(H69,確率DB!$B$4:$B$27,0)),0))</f>
        <v>1</v>
      </c>
      <c r="N69" s="11" t="n">
        <f aca="false">C69*I69*J69*K69*L69*M69</f>
        <v>0</v>
      </c>
      <c r="O69" s="23"/>
    </row>
    <row r="70" customFormat="false" ht="15" hidden="false" customHeight="false" outlineLevel="0" collapsed="false">
      <c r="A70" s="33" t="n">
        <v>50</v>
      </c>
      <c r="B70" s="34"/>
      <c r="C70" s="11" t="n">
        <f aca="false">IF(B70="",0,IFERROR(INDEX(確率DB!$E$4:$E$27,MATCH(B70,確率DB!$B$4:$B$27,0)),0))</f>
        <v>0</v>
      </c>
      <c r="D70" s="34"/>
      <c r="E70" s="34"/>
      <c r="F70" s="34"/>
      <c r="G70" s="34"/>
      <c r="H70" s="34"/>
      <c r="I70" s="11" t="n">
        <f aca="false">IF(D70="",1,IFERROR(INDEX(確率DB!$G$4:$G$27,MATCH(D70,確率DB!$B$4:$B$27,0)),0))</f>
        <v>1</v>
      </c>
      <c r="J70" s="11" t="n">
        <f aca="false">IF(E70="",1,IFERROR(INDEX(確率DB!$G$4:$G$27,MATCH(E70,確率DB!$B$4:$B$27,0)),0))</f>
        <v>1</v>
      </c>
      <c r="K70" s="11" t="n">
        <f aca="false">IF(F70="",1,IFERROR(INDEX(確率DB!$G$4:$G$27,MATCH(F70,確率DB!$B$4:$B$27,0)),0))</f>
        <v>1</v>
      </c>
      <c r="L70" s="11" t="n">
        <f aca="false">IF(G70="",1,IFERROR(INDEX(確率DB!$G$4:$G$27,MATCH(G70,確率DB!$B$4:$B$27,0)),0))</f>
        <v>1</v>
      </c>
      <c r="M70" s="11" t="n">
        <f aca="false">IF(H70="",1,IFERROR(INDEX(確率DB!$G$4:$G$27,MATCH(H70,確率DB!$B$4:$B$27,0)),0))</f>
        <v>1</v>
      </c>
      <c r="N70" s="11" t="n">
        <f aca="false">C70*I70*J70*K70*L70*M70</f>
        <v>0</v>
      </c>
      <c r="O70" s="23"/>
    </row>
    <row r="71" customFormat="false" ht="15" hidden="false" customHeight="false" outlineLevel="0" collapsed="false">
      <c r="A71" s="33" t="n">
        <v>51</v>
      </c>
      <c r="B71" s="34"/>
      <c r="C71" s="11" t="n">
        <f aca="false">IF(B71="",0,IFERROR(INDEX(確率DB!$E$4:$E$27,MATCH(B71,確率DB!$B$4:$B$27,0)),0))</f>
        <v>0</v>
      </c>
      <c r="D71" s="34"/>
      <c r="E71" s="34"/>
      <c r="F71" s="34"/>
      <c r="G71" s="34"/>
      <c r="H71" s="34"/>
      <c r="I71" s="11" t="n">
        <f aca="false">IF(D71="",1,IFERROR(INDEX(確率DB!$G$4:$G$27,MATCH(D71,確率DB!$B$4:$B$27,0)),0))</f>
        <v>1</v>
      </c>
      <c r="J71" s="11" t="n">
        <f aca="false">IF(E71="",1,IFERROR(INDEX(確率DB!$G$4:$G$27,MATCH(E71,確率DB!$B$4:$B$27,0)),0))</f>
        <v>1</v>
      </c>
      <c r="K71" s="11" t="n">
        <f aca="false">IF(F71="",1,IFERROR(INDEX(確率DB!$G$4:$G$27,MATCH(F71,確率DB!$B$4:$B$27,0)),0))</f>
        <v>1</v>
      </c>
      <c r="L71" s="11" t="n">
        <f aca="false">IF(G71="",1,IFERROR(INDEX(確率DB!$G$4:$G$27,MATCH(G71,確率DB!$B$4:$B$27,0)),0))</f>
        <v>1</v>
      </c>
      <c r="M71" s="11" t="n">
        <f aca="false">IF(H71="",1,IFERROR(INDEX(確率DB!$G$4:$G$27,MATCH(H71,確率DB!$B$4:$B$27,0)),0))</f>
        <v>1</v>
      </c>
      <c r="N71" s="11" t="n">
        <f aca="false">C71*I71*J71*K71*L71*M71</f>
        <v>0</v>
      </c>
      <c r="O71" s="23"/>
    </row>
    <row r="72" customFormat="false" ht="15" hidden="false" customHeight="false" outlineLevel="0" collapsed="false">
      <c r="A72" s="33" t="n">
        <v>52</v>
      </c>
      <c r="B72" s="34"/>
      <c r="C72" s="11" t="n">
        <f aca="false">IF(B72="",0,IFERROR(INDEX(確率DB!$E$4:$E$27,MATCH(B72,確率DB!$B$4:$B$27,0)),0))</f>
        <v>0</v>
      </c>
      <c r="D72" s="34"/>
      <c r="E72" s="34"/>
      <c r="F72" s="34"/>
      <c r="G72" s="34"/>
      <c r="H72" s="34"/>
      <c r="I72" s="11" t="n">
        <f aca="false">IF(D72="",1,IFERROR(INDEX(確率DB!$G$4:$G$27,MATCH(D72,確率DB!$B$4:$B$27,0)),0))</f>
        <v>1</v>
      </c>
      <c r="J72" s="11" t="n">
        <f aca="false">IF(E72="",1,IFERROR(INDEX(確率DB!$G$4:$G$27,MATCH(E72,確率DB!$B$4:$B$27,0)),0))</f>
        <v>1</v>
      </c>
      <c r="K72" s="11" t="n">
        <f aca="false">IF(F72="",1,IFERROR(INDEX(確率DB!$G$4:$G$27,MATCH(F72,確率DB!$B$4:$B$27,0)),0))</f>
        <v>1</v>
      </c>
      <c r="L72" s="11" t="n">
        <f aca="false">IF(G72="",1,IFERROR(INDEX(確率DB!$G$4:$G$27,MATCH(G72,確率DB!$B$4:$B$27,0)),0))</f>
        <v>1</v>
      </c>
      <c r="M72" s="11" t="n">
        <f aca="false">IF(H72="",1,IFERROR(INDEX(確率DB!$G$4:$G$27,MATCH(H72,確率DB!$B$4:$B$27,0)),0))</f>
        <v>1</v>
      </c>
      <c r="N72" s="11" t="n">
        <f aca="false">C72*I72*J72*K72*L72*M72</f>
        <v>0</v>
      </c>
      <c r="O72" s="23"/>
    </row>
    <row r="73" customFormat="false" ht="15" hidden="false" customHeight="false" outlineLevel="0" collapsed="false">
      <c r="A73" s="33" t="n">
        <v>53</v>
      </c>
      <c r="B73" s="34"/>
      <c r="C73" s="11" t="n">
        <f aca="false">IF(B73="",0,IFERROR(INDEX(確率DB!$E$4:$E$27,MATCH(B73,確率DB!$B$4:$B$27,0)),0))</f>
        <v>0</v>
      </c>
      <c r="D73" s="34"/>
      <c r="E73" s="34"/>
      <c r="F73" s="34"/>
      <c r="G73" s="34"/>
      <c r="H73" s="34"/>
      <c r="I73" s="11" t="n">
        <f aca="false">IF(D73="",1,IFERROR(INDEX(確率DB!$G$4:$G$27,MATCH(D73,確率DB!$B$4:$B$27,0)),0))</f>
        <v>1</v>
      </c>
      <c r="J73" s="11" t="n">
        <f aca="false">IF(E73="",1,IFERROR(INDEX(確率DB!$G$4:$G$27,MATCH(E73,確率DB!$B$4:$B$27,0)),0))</f>
        <v>1</v>
      </c>
      <c r="K73" s="11" t="n">
        <f aca="false">IF(F73="",1,IFERROR(INDEX(確率DB!$G$4:$G$27,MATCH(F73,確率DB!$B$4:$B$27,0)),0))</f>
        <v>1</v>
      </c>
      <c r="L73" s="11" t="n">
        <f aca="false">IF(G73="",1,IFERROR(INDEX(確率DB!$G$4:$G$27,MATCH(G73,確率DB!$B$4:$B$27,0)),0))</f>
        <v>1</v>
      </c>
      <c r="M73" s="11" t="n">
        <f aca="false">IF(H73="",1,IFERROR(INDEX(確率DB!$G$4:$G$27,MATCH(H73,確率DB!$B$4:$B$27,0)),0))</f>
        <v>1</v>
      </c>
      <c r="N73" s="11" t="n">
        <f aca="false">C73*I73*J73*K73*L73*M73</f>
        <v>0</v>
      </c>
      <c r="O73" s="23"/>
    </row>
    <row r="74" customFormat="false" ht="15" hidden="false" customHeight="false" outlineLevel="0" collapsed="false">
      <c r="A74" s="33" t="n">
        <v>54</v>
      </c>
      <c r="B74" s="34"/>
      <c r="C74" s="11" t="n">
        <f aca="false">IF(B74="",0,IFERROR(INDEX(確率DB!$E$4:$E$27,MATCH(B74,確率DB!$B$4:$B$27,0)),0))</f>
        <v>0</v>
      </c>
      <c r="D74" s="34"/>
      <c r="E74" s="34"/>
      <c r="F74" s="34"/>
      <c r="G74" s="34"/>
      <c r="H74" s="34"/>
      <c r="I74" s="11" t="n">
        <f aca="false">IF(D74="",1,IFERROR(INDEX(確率DB!$G$4:$G$27,MATCH(D74,確率DB!$B$4:$B$27,0)),0))</f>
        <v>1</v>
      </c>
      <c r="J74" s="11" t="n">
        <f aca="false">IF(E74="",1,IFERROR(INDEX(確率DB!$G$4:$G$27,MATCH(E74,確率DB!$B$4:$B$27,0)),0))</f>
        <v>1</v>
      </c>
      <c r="K74" s="11" t="n">
        <f aca="false">IF(F74="",1,IFERROR(INDEX(確率DB!$G$4:$G$27,MATCH(F74,確率DB!$B$4:$B$27,0)),0))</f>
        <v>1</v>
      </c>
      <c r="L74" s="11" t="n">
        <f aca="false">IF(G74="",1,IFERROR(INDEX(確率DB!$G$4:$G$27,MATCH(G74,確率DB!$B$4:$B$27,0)),0))</f>
        <v>1</v>
      </c>
      <c r="M74" s="11" t="n">
        <f aca="false">IF(H74="",1,IFERROR(INDEX(確率DB!$G$4:$G$27,MATCH(H74,確率DB!$B$4:$B$27,0)),0))</f>
        <v>1</v>
      </c>
      <c r="N74" s="11" t="n">
        <f aca="false">C74*I74*J74*K74*L74*M74</f>
        <v>0</v>
      </c>
      <c r="O74" s="23"/>
    </row>
    <row r="75" customFormat="false" ht="15" hidden="false" customHeight="false" outlineLevel="0" collapsed="false">
      <c r="A75" s="33" t="n">
        <v>55</v>
      </c>
      <c r="B75" s="34"/>
      <c r="C75" s="11" t="n">
        <f aca="false">IF(B75="",0,IFERROR(INDEX(確率DB!$E$4:$E$27,MATCH(B75,確率DB!$B$4:$B$27,0)),0))</f>
        <v>0</v>
      </c>
      <c r="D75" s="34"/>
      <c r="E75" s="34"/>
      <c r="F75" s="34"/>
      <c r="G75" s="34"/>
      <c r="H75" s="34"/>
      <c r="I75" s="11" t="n">
        <f aca="false">IF(D75="",1,IFERROR(INDEX(確率DB!$G$4:$G$27,MATCH(D75,確率DB!$B$4:$B$27,0)),0))</f>
        <v>1</v>
      </c>
      <c r="J75" s="11" t="n">
        <f aca="false">IF(E75="",1,IFERROR(INDEX(確率DB!$G$4:$G$27,MATCH(E75,確率DB!$B$4:$B$27,0)),0))</f>
        <v>1</v>
      </c>
      <c r="K75" s="11" t="n">
        <f aca="false">IF(F75="",1,IFERROR(INDEX(確率DB!$G$4:$G$27,MATCH(F75,確率DB!$B$4:$B$27,0)),0))</f>
        <v>1</v>
      </c>
      <c r="L75" s="11" t="n">
        <f aca="false">IF(G75="",1,IFERROR(INDEX(確率DB!$G$4:$G$27,MATCH(G75,確率DB!$B$4:$B$27,0)),0))</f>
        <v>1</v>
      </c>
      <c r="M75" s="11" t="n">
        <f aca="false">IF(H75="",1,IFERROR(INDEX(確率DB!$G$4:$G$27,MATCH(H75,確率DB!$B$4:$B$27,0)),0))</f>
        <v>1</v>
      </c>
      <c r="N75" s="11" t="n">
        <f aca="false">C75*I75*J75*K75*L75*M75</f>
        <v>0</v>
      </c>
      <c r="O75" s="23"/>
    </row>
    <row r="77" customFormat="false" ht="15" hidden="false" customHeight="false" outlineLevel="0" collapsed="false">
      <c r="B77" s="31" t="s">
        <v>228</v>
      </c>
      <c r="C77" s="30" t="n">
        <f aca="false">SUM(N21:N75)</f>
        <v>3.74460336524145E-006</v>
      </c>
    </row>
    <row r="78" customFormat="false" ht="15" hidden="false" customHeight="false" outlineLevel="0" collapsed="false">
      <c r="B78" s="15" t="s">
        <v>229</v>
      </c>
      <c r="C78" s="11" t="n">
        <f aca="false">C77*シナリオ計算!$C$5</f>
        <v>0.0328027254795151</v>
      </c>
    </row>
    <row r="79" customFormat="false" ht="37.3" hidden="false" customHeight="false" outlineLevel="0" collapsed="false">
      <c r="B79" s="15" t="s">
        <v>230</v>
      </c>
      <c r="C79" s="17" t="n">
        <f aca="false">C77/シナリオ計算!C30</f>
        <v>1</v>
      </c>
      <c r="D79" s="39" t="s">
        <v>231</v>
      </c>
    </row>
    <row r="81" customFormat="false" ht="27.75" hidden="false" customHeight="true" outlineLevel="0" collapsed="false">
      <c r="C81" s="12" t="s">
        <v>232</v>
      </c>
    </row>
    <row r="82" customFormat="false" ht="27.75" hidden="false" customHeight="true" outlineLevel="0" collapsed="false">
      <c r="C82" s="12" t="s">
        <v>233</v>
      </c>
    </row>
  </sheetData>
  <dataValidations count="1">
    <dataValidation allowBlank="true" errorStyle="stop" operator="between" showDropDown="false" showErrorMessage="false" showInputMessage="false" sqref="B21:B75 D21:H75" type="list">
      <formula1>DB_KEYS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6" min="5" style="0" width="14"/>
    <col collapsed="false" customWidth="true" hidden="false" outlineLevel="0" max="7" min="7" style="0" width="60"/>
  </cols>
  <sheetData>
    <row r="1" customFormat="false" ht="19.4" hidden="false" customHeight="false" outlineLevel="0" collapsed="false">
      <c r="B1" s="18" t="s">
        <v>234</v>
      </c>
    </row>
    <row r="2" customFormat="false" ht="15" hidden="false" customHeight="false" outlineLevel="0" collapsed="false">
      <c r="B2" s="41" t="s">
        <v>235</v>
      </c>
    </row>
    <row r="3" customFormat="false" ht="15" hidden="false" customHeight="false" outlineLevel="0" collapsed="false">
      <c r="C3" s="43" t="s">
        <v>236</v>
      </c>
    </row>
    <row r="4" customFormat="false" ht="15" hidden="false" customHeight="false" outlineLevel="0" collapsed="false">
      <c r="C4" s="43" t="s">
        <v>237</v>
      </c>
    </row>
    <row r="5" customFormat="false" ht="15" hidden="false" customHeight="false" outlineLevel="0" collapsed="false">
      <c r="C5" s="43" t="s">
        <v>238</v>
      </c>
    </row>
    <row r="6" customFormat="false" ht="15" hidden="false" customHeight="false" outlineLevel="0" collapsed="false">
      <c r="C6" s="43" t="s">
        <v>239</v>
      </c>
    </row>
    <row r="7" customFormat="false" ht="15" hidden="false" customHeight="false" outlineLevel="0" collapsed="false">
      <c r="C7" s="43" t="s">
        <v>240</v>
      </c>
    </row>
    <row r="8" customFormat="false" ht="15" hidden="false" customHeight="false" outlineLevel="0" collapsed="false">
      <c r="C8" s="43" t="s">
        <v>241</v>
      </c>
    </row>
    <row r="10" customFormat="false" ht="15" hidden="false" customHeight="false" outlineLevel="0" collapsed="false">
      <c r="B10" s="41" t="s">
        <v>242</v>
      </c>
    </row>
    <row r="11" customFormat="false" ht="15" hidden="false" customHeight="false" outlineLevel="0" collapsed="false">
      <c r="C11" s="13" t="s">
        <v>243</v>
      </c>
      <c r="D11" s="13" t="s">
        <v>244</v>
      </c>
      <c r="E11" s="13" t="s">
        <v>245</v>
      </c>
      <c r="F11" s="13" t="s">
        <v>246</v>
      </c>
      <c r="G11" s="13" t="s">
        <v>95</v>
      </c>
    </row>
    <row r="12" customFormat="false" ht="15" hidden="false" customHeight="false" outlineLevel="0" collapsed="false">
      <c r="C12" s="15" t="s">
        <v>247</v>
      </c>
      <c r="D12" s="5" t="s">
        <v>106</v>
      </c>
      <c r="E12" s="11" t="n">
        <f aca="false">IFERROR(INDEX(確率DB!$E$4:$E$27,MATCH(D12,確率DB!$B$4:$B$27,0)),0)</f>
        <v>0.00012</v>
      </c>
      <c r="F12" s="33" t="s">
        <v>192</v>
      </c>
      <c r="G12" s="45" t="s">
        <v>248</v>
      </c>
    </row>
    <row r="13" customFormat="false" ht="15" hidden="false" customHeight="false" outlineLevel="0" collapsed="false">
      <c r="C13" s="15" t="s">
        <v>247</v>
      </c>
      <c r="D13" s="4" t="s">
        <v>97</v>
      </c>
      <c r="E13" s="11" t="n">
        <f aca="false">IFERROR(INDEX(確率DB!$E$4:$E$27,MATCH(D13,確率DB!$B$4:$B$27,0)),0)</f>
        <v>5.28E-010</v>
      </c>
      <c r="F13" s="33" t="s">
        <v>192</v>
      </c>
      <c r="G13" s="44"/>
    </row>
    <row r="14" customFormat="false" ht="15" hidden="false" customHeight="false" outlineLevel="0" collapsed="false">
      <c r="C14" s="15" t="s">
        <v>247</v>
      </c>
      <c r="D14" s="5" t="s">
        <v>122</v>
      </c>
      <c r="E14" s="11" t="n">
        <f aca="false">IFERROR(INDEX(確率DB!$E$4:$E$27,MATCH(D14,確率DB!$B$4:$B$27,0)),0)</f>
        <v>3.6E-006</v>
      </c>
      <c r="F14" s="33" t="s">
        <v>192</v>
      </c>
      <c r="G14" s="45" t="s">
        <v>249</v>
      </c>
    </row>
    <row r="15" customFormat="false" ht="15" hidden="false" customHeight="false" outlineLevel="0" collapsed="false">
      <c r="C15" s="15" t="s">
        <v>250</v>
      </c>
      <c r="D15" s="5" t="s">
        <v>108</v>
      </c>
      <c r="E15" s="11" t="n">
        <f aca="false">IFERROR(INDEX(確率DB!$G$4:$G$27,MATCH(D15,確率DB!$B$4:$B$27,0)),0)</f>
        <v>0.0685</v>
      </c>
      <c r="F15" s="33" t="s">
        <v>251</v>
      </c>
      <c r="G15" s="45" t="s">
        <v>252</v>
      </c>
    </row>
    <row r="16" customFormat="false" ht="15" hidden="false" customHeight="false" outlineLevel="0" collapsed="false">
      <c r="C16" s="15" t="s">
        <v>250</v>
      </c>
      <c r="D16" s="4" t="s">
        <v>97</v>
      </c>
      <c r="E16" s="11" t="n">
        <f aca="false">IFERROR(INDEX(確率DB!$G$4:$G$27,MATCH(D16,確率DB!$B$4:$B$27,0)),0)</f>
        <v>1.94E-007</v>
      </c>
      <c r="F16" s="33" t="s">
        <v>251</v>
      </c>
      <c r="G16" s="44"/>
    </row>
    <row r="17" customFormat="false" ht="15" hidden="false" customHeight="false" outlineLevel="0" collapsed="false">
      <c r="C17" s="15" t="s">
        <v>250</v>
      </c>
      <c r="D17" s="5" t="s">
        <v>115</v>
      </c>
      <c r="E17" s="11" t="n">
        <f aca="false">IFERROR(INDEX(確率DB!$G$4:$G$27,MATCH(D17,確率DB!$B$4:$B$27,0)),0)</f>
        <v>9.3E-006</v>
      </c>
      <c r="F17" s="33" t="s">
        <v>251</v>
      </c>
      <c r="G17" s="44"/>
    </row>
    <row r="18" customFormat="false" ht="15" hidden="false" customHeight="false" outlineLevel="0" collapsed="false">
      <c r="C18" s="15" t="s">
        <v>250</v>
      </c>
      <c r="D18" s="5" t="s">
        <v>137</v>
      </c>
      <c r="E18" s="11" t="n">
        <f aca="false">IFERROR(INDEX(確率DB!$G$4:$G$27,MATCH(D18,確率DB!$B$4:$B$27,0)),0)</f>
        <v>0.0001</v>
      </c>
      <c r="F18" s="33" t="s">
        <v>251</v>
      </c>
      <c r="G18" s="44"/>
    </row>
    <row r="19" customFormat="false" ht="26.85" hidden="false" customHeight="false" outlineLevel="0" collapsed="false">
      <c r="C19" s="15" t="s">
        <v>250</v>
      </c>
      <c r="D19" s="5" t="s">
        <v>139</v>
      </c>
      <c r="E19" s="11" t="n">
        <f aca="false">IFERROR(INDEX(確率DB!$G$4:$G$27,MATCH(D19,確率DB!$B$4:$B$27,0)),0)</f>
        <v>0.3</v>
      </c>
      <c r="F19" s="33" t="s">
        <v>251</v>
      </c>
      <c r="G19" s="44"/>
    </row>
    <row r="20" customFormat="false" ht="15" hidden="false" customHeight="false" outlineLevel="0" collapsed="false">
      <c r="C20" s="15" t="s">
        <v>253</v>
      </c>
      <c r="D20" s="5" t="s">
        <v>110</v>
      </c>
      <c r="E20" s="11" t="n">
        <f aca="false">IFERROR(INDEX(確率DB!$G$4:$G$27,MATCH(D20,確率DB!$B$4:$B$27,0)),0)</f>
        <v>0.0793</v>
      </c>
      <c r="F20" s="33" t="s">
        <v>251</v>
      </c>
      <c r="G20" s="45" t="s">
        <v>254</v>
      </c>
    </row>
    <row r="21" customFormat="false" ht="15" hidden="false" customHeight="false" outlineLevel="0" collapsed="false">
      <c r="C21" s="15" t="s">
        <v>253</v>
      </c>
      <c r="D21" s="5" t="s">
        <v>118</v>
      </c>
      <c r="E21" s="11" t="n">
        <f aca="false">IFERROR(INDEX(確率DB!$G$4:$G$27,MATCH(D21,確率DB!$B$4:$B$27,0)),0)</f>
        <v>0.00069</v>
      </c>
      <c r="F21" s="33" t="s">
        <v>251</v>
      </c>
      <c r="G21" s="45" t="s">
        <v>255</v>
      </c>
    </row>
    <row r="22" customFormat="false" ht="15" hidden="false" customHeight="false" outlineLevel="0" collapsed="false">
      <c r="C22" s="15" t="s">
        <v>253</v>
      </c>
      <c r="D22" s="5" t="s">
        <v>122</v>
      </c>
      <c r="E22" s="11" t="n">
        <f aca="false">IFERROR(INDEX(確率DB!$G$4:$G$27,MATCH(D22,確率DB!$B$4:$B$27,0)),0)</f>
        <v>0.0022</v>
      </c>
      <c r="F22" s="33" t="s">
        <v>251</v>
      </c>
      <c r="G22" s="45" t="s">
        <v>256</v>
      </c>
    </row>
    <row r="24" customFormat="false" ht="15" hidden="false" customHeight="false" outlineLevel="0" collapsed="false">
      <c r="C24" s="31" t="s">
        <v>257</v>
      </c>
      <c r="E24" s="30" t="n">
        <f aca="false">SUM(E12:E14)*8760</f>
        <v>1.08274062528</v>
      </c>
      <c r="F24" s="33" t="s">
        <v>258</v>
      </c>
    </row>
    <row r="25" customFormat="false" ht="15" hidden="false" customHeight="false" outlineLevel="0" collapsed="false">
      <c r="C25" s="31" t="s">
        <v>259</v>
      </c>
      <c r="E25" s="30" t="n">
        <f aca="false">MIN(1,SUM(E15:E19))</f>
        <v>0.368609494</v>
      </c>
      <c r="F25" s="33" t="s">
        <v>251</v>
      </c>
    </row>
    <row r="26" customFormat="false" ht="15" hidden="false" customHeight="false" outlineLevel="0" collapsed="false">
      <c r="C26" s="31" t="s">
        <v>260</v>
      </c>
      <c r="E26" s="30" t="n">
        <f aca="false">MIN(1,SUM(E20:E22))</f>
        <v>0.08219</v>
      </c>
      <c r="F26" s="33" t="s">
        <v>251</v>
      </c>
    </row>
    <row r="27" customFormat="false" ht="15" hidden="false" customHeight="false" outlineLevel="0" collapsed="false">
      <c r="C27" s="31" t="s">
        <v>261</v>
      </c>
      <c r="E27" s="30" t="n">
        <f aca="false">E24*E25*E26</f>
        <v>0.0328027254795151</v>
      </c>
      <c r="F27" s="33" t="s">
        <v>258</v>
      </c>
    </row>
    <row r="28" customFormat="false" ht="15" hidden="false" customHeight="false" outlineLevel="0" collapsed="false">
      <c r="C28" s="15" t="s">
        <v>262</v>
      </c>
      <c r="E28" s="11" t="n">
        <f aca="false">E27/8760</f>
        <v>3.74460336524145E-006</v>
      </c>
      <c r="F28" s="33" t="s">
        <v>192</v>
      </c>
    </row>
    <row r="30" customFormat="false" ht="15" hidden="false" customHeight="false" outlineLevel="0" collapsed="false">
      <c r="B30" s="8" t="s">
        <v>263</v>
      </c>
    </row>
    <row r="31" customFormat="false" ht="15" hidden="false" customHeight="false" outlineLevel="0" collapsed="false">
      <c r="C31" s="16" t="s">
        <v>264</v>
      </c>
      <c r="E31" s="11" t="n">
        <v>5.24797E-006</v>
      </c>
      <c r="F31" s="33" t="s">
        <v>192</v>
      </c>
      <c r="G31" s="44" t="s">
        <v>265</v>
      </c>
    </row>
    <row r="32" customFormat="false" ht="15" hidden="false" customHeight="false" outlineLevel="0" collapsed="false">
      <c r="C32" s="15" t="s">
        <v>266</v>
      </c>
      <c r="E32" s="46" t="n">
        <f aca="false">E28/E31</f>
        <v>0.713533683546486</v>
      </c>
      <c r="G32" s="22" t="s">
        <v>267</v>
      </c>
    </row>
    <row r="33" customFormat="false" ht="15" hidden="false" customHeight="false" outlineLevel="0" collapsed="false">
      <c r="C33" s="47" t="s">
        <v>268</v>
      </c>
    </row>
    <row r="34" customFormat="false" ht="90" hidden="false" customHeight="true" outlineLevel="0" collapsed="false">
      <c r="C34" s="42" t="s">
        <v>269</v>
      </c>
    </row>
    <row r="36" customFormat="false" ht="15" hidden="false" customHeight="false" outlineLevel="0" collapsed="false">
      <c r="B36" s="41" t="s">
        <v>270</v>
      </c>
    </row>
    <row r="37" customFormat="false" ht="15" hidden="false" customHeight="false" outlineLevel="0" collapsed="false">
      <c r="C37" s="13" t="s">
        <v>271</v>
      </c>
      <c r="D37" s="13" t="s">
        <v>272</v>
      </c>
      <c r="E37" s="13" t="s">
        <v>273</v>
      </c>
      <c r="F37" s="13" t="s">
        <v>274</v>
      </c>
    </row>
    <row r="38" customFormat="false" ht="15" hidden="false" customHeight="false" outlineLevel="0" collapsed="false">
      <c r="C38" s="15" t="s">
        <v>275</v>
      </c>
      <c r="D38" s="15" t="s">
        <v>276</v>
      </c>
      <c r="E38" s="11" t="n">
        <f aca="false">E24*E25*E26</f>
        <v>0.0328027254795151</v>
      </c>
      <c r="F38" s="48" t="n">
        <v>1</v>
      </c>
    </row>
    <row r="39" customFormat="false" ht="15" hidden="false" customHeight="false" outlineLevel="0" collapsed="false">
      <c r="C39" s="15" t="s">
        <v>277</v>
      </c>
      <c r="D39" s="16" t="s">
        <v>278</v>
      </c>
      <c r="E39" s="11" t="n">
        <f aca="false">E24*E25</f>
        <v>0.399108474017704</v>
      </c>
      <c r="F39" s="48" t="n">
        <f aca="false">E39/E38</f>
        <v>12.1669302834895</v>
      </c>
    </row>
    <row r="40" customFormat="false" ht="26.85" hidden="false" customHeight="false" outlineLevel="0" collapsed="false">
      <c r="C40" s="15" t="s">
        <v>279</v>
      </c>
      <c r="D40" s="5" t="s">
        <v>280</v>
      </c>
      <c r="E40" s="11" t="n">
        <f aca="false">E24*E25*E26*E26</f>
        <v>0.00269605600716135</v>
      </c>
      <c r="F40" s="17" t="n">
        <f aca="false">E40/E38</f>
        <v>0.08219</v>
      </c>
    </row>
    <row r="42" customFormat="false" ht="30" hidden="false" customHeight="true" outlineLevel="0" collapsed="false">
      <c r="C42" s="12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5" min="4" style="0" width="18"/>
    <col collapsed="false" customWidth="true" hidden="false" outlineLevel="0" max="6" min="6" style="0" width="3"/>
    <col collapsed="false" customWidth="true" hidden="false" outlineLevel="0" max="7" min="7" style="0" width="10"/>
    <col collapsed="false" customWidth="true" hidden="false" outlineLevel="0" max="11" min="8" style="0" width="16"/>
  </cols>
  <sheetData>
    <row r="1" customFormat="false" ht="17.35" hidden="false" customHeight="false" outlineLevel="0" collapsed="false">
      <c r="B1" s="18" t="s">
        <v>282</v>
      </c>
    </row>
    <row r="2" customFormat="false" ht="115.65" hidden="false" customHeight="false" outlineLevel="0" collapsed="false">
      <c r="B2" s="49" t="s">
        <v>283</v>
      </c>
    </row>
    <row r="4" customFormat="false" ht="15" hidden="false" customHeight="false" outlineLevel="0" collapsed="false">
      <c r="B4" s="41" t="s">
        <v>284</v>
      </c>
    </row>
    <row r="5" customFormat="false" ht="15" hidden="false" customHeight="false" outlineLevel="0" collapsed="false">
      <c r="B5" s="19" t="s">
        <v>285</v>
      </c>
      <c r="C5" s="19" t="s">
        <v>286</v>
      </c>
      <c r="D5" s="19" t="s">
        <v>287</v>
      </c>
      <c r="E5" s="19" t="s">
        <v>288</v>
      </c>
    </row>
    <row r="6" customFormat="false" ht="15" hidden="false" customHeight="false" outlineLevel="0" collapsed="false">
      <c r="B6" s="40" t="s">
        <v>289</v>
      </c>
      <c r="C6" s="15" t="s">
        <v>290</v>
      </c>
      <c r="D6" s="37" t="n">
        <v>0.1</v>
      </c>
      <c r="E6" s="37" t="n">
        <v>1.14155251141553E-005</v>
      </c>
    </row>
    <row r="7" customFormat="false" ht="15" hidden="false" customHeight="false" outlineLevel="0" collapsed="false">
      <c r="B7" s="40" t="s">
        <v>291</v>
      </c>
      <c r="C7" s="15" t="s">
        <v>292</v>
      </c>
      <c r="D7" s="37" t="n">
        <v>0.01</v>
      </c>
      <c r="E7" s="37" t="n">
        <v>1.14155251141553E-006</v>
      </c>
    </row>
    <row r="8" customFormat="false" ht="15" hidden="false" customHeight="false" outlineLevel="0" collapsed="false">
      <c r="B8" s="40" t="s">
        <v>293</v>
      </c>
      <c r="C8" s="15" t="s">
        <v>294</v>
      </c>
      <c r="D8" s="37" t="n">
        <v>0.0001</v>
      </c>
      <c r="E8" s="37" t="n">
        <v>1.14155251141553E-008</v>
      </c>
    </row>
    <row r="9" customFormat="false" ht="15" hidden="false" customHeight="false" outlineLevel="0" collapsed="false">
      <c r="B9" s="40" t="s">
        <v>295</v>
      </c>
      <c r="C9" s="15" t="s">
        <v>296</v>
      </c>
      <c r="D9" s="37" t="n">
        <v>1E-006</v>
      </c>
      <c r="E9" s="37" t="n">
        <v>1.14155251141553E-010</v>
      </c>
    </row>
    <row r="10" customFormat="false" ht="15" hidden="false" customHeight="false" outlineLevel="0" collapsed="false">
      <c r="B10" s="40" t="s">
        <v>297</v>
      </c>
      <c r="C10" s="15" t="s">
        <v>298</v>
      </c>
      <c r="D10" s="11" t="s">
        <v>299</v>
      </c>
      <c r="E10" s="11" t="s">
        <v>299</v>
      </c>
    </row>
    <row r="12" customFormat="false" ht="15" hidden="false" customHeight="false" outlineLevel="0" collapsed="false">
      <c r="B12" s="41" t="s">
        <v>300</v>
      </c>
    </row>
    <row r="13" customFormat="false" ht="26.85" hidden="false" customHeight="false" outlineLevel="0" collapsed="false">
      <c r="B13" s="40" t="s">
        <v>301</v>
      </c>
      <c r="C13" s="15" t="s">
        <v>302</v>
      </c>
      <c r="D13" s="5" t="s">
        <v>303</v>
      </c>
    </row>
    <row r="14" customFormat="false" ht="26.85" hidden="false" customHeight="false" outlineLevel="0" collapsed="false">
      <c r="B14" s="40" t="s">
        <v>304</v>
      </c>
      <c r="C14" s="15" t="s">
        <v>305</v>
      </c>
      <c r="D14" s="5" t="s">
        <v>306</v>
      </c>
    </row>
    <row r="15" customFormat="false" ht="26.85" hidden="false" customHeight="false" outlineLevel="0" collapsed="false">
      <c r="B15" s="40" t="s">
        <v>307</v>
      </c>
      <c r="C15" s="15" t="s">
        <v>308</v>
      </c>
      <c r="D15" s="5" t="s">
        <v>309</v>
      </c>
    </row>
    <row r="16" customFormat="false" ht="26.85" hidden="false" customHeight="false" outlineLevel="0" collapsed="false">
      <c r="B16" s="40" t="s">
        <v>310</v>
      </c>
      <c r="C16" s="15" t="s">
        <v>311</v>
      </c>
      <c r="D16" s="5" t="s">
        <v>312</v>
      </c>
      <c r="G16" s="41" t="s">
        <v>313</v>
      </c>
    </row>
    <row r="17" customFormat="false" ht="15" hidden="false" customHeight="false" outlineLevel="0" collapsed="false">
      <c r="G17" s="13" t="s">
        <v>314</v>
      </c>
      <c r="H17" s="13" t="s">
        <v>315</v>
      </c>
      <c r="I17" s="13" t="s">
        <v>316</v>
      </c>
      <c r="J17" s="13" t="s">
        <v>317</v>
      </c>
      <c r="K17" s="13" t="s">
        <v>318</v>
      </c>
    </row>
    <row r="18" customFormat="false" ht="15" hidden="false" customHeight="false" outlineLevel="0" collapsed="false">
      <c r="G18" s="40" t="s">
        <v>289</v>
      </c>
      <c r="H18" s="50" t="s">
        <v>319</v>
      </c>
      <c r="I18" s="50" t="s">
        <v>319</v>
      </c>
      <c r="J18" s="51" t="s">
        <v>320</v>
      </c>
      <c r="K18" s="51" t="s">
        <v>320</v>
      </c>
    </row>
    <row r="19" customFormat="false" ht="15" hidden="false" customHeight="false" outlineLevel="0" collapsed="false">
      <c r="G19" s="40" t="s">
        <v>291</v>
      </c>
      <c r="H19" s="50" t="s">
        <v>319</v>
      </c>
      <c r="I19" s="50" t="s">
        <v>319</v>
      </c>
      <c r="J19" s="51" t="s">
        <v>320</v>
      </c>
      <c r="K19" s="52" t="s">
        <v>321</v>
      </c>
    </row>
    <row r="20" customFormat="false" ht="15" hidden="false" customHeight="false" outlineLevel="0" collapsed="false">
      <c r="G20" s="40" t="s">
        <v>293</v>
      </c>
      <c r="H20" s="50" t="s">
        <v>319</v>
      </c>
      <c r="I20" s="51" t="s">
        <v>320</v>
      </c>
      <c r="J20" s="52" t="s">
        <v>321</v>
      </c>
      <c r="K20" s="52" t="s">
        <v>321</v>
      </c>
    </row>
    <row r="21" customFormat="false" ht="15" hidden="false" customHeight="false" outlineLevel="0" collapsed="false">
      <c r="G21" s="40" t="s">
        <v>295</v>
      </c>
      <c r="H21" s="51" t="s">
        <v>320</v>
      </c>
      <c r="I21" s="52" t="s">
        <v>321</v>
      </c>
      <c r="J21" s="52" t="s">
        <v>321</v>
      </c>
      <c r="K21" s="52" t="s">
        <v>321</v>
      </c>
    </row>
    <row r="22" customFormat="false" ht="15" hidden="false" customHeight="false" outlineLevel="0" collapsed="false">
      <c r="G22" s="40" t="s">
        <v>297</v>
      </c>
      <c r="H22" s="52" t="s">
        <v>321</v>
      </c>
      <c r="I22" s="52" t="s">
        <v>321</v>
      </c>
      <c r="J22" s="52" t="s">
        <v>321</v>
      </c>
      <c r="K22" s="52" t="s">
        <v>321</v>
      </c>
    </row>
    <row r="24" customFormat="false" ht="15" hidden="false" customHeight="false" outlineLevel="0" collapsed="false">
      <c r="G24" s="2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2026-07-21T22:04:31Z</dcterms:created>
  <dc:creator>openpyxl</dc:creator>
  <dc:description/>
  <dc:language>en-US</dc:language>
  <cp:lastModifiedBy/>
  <dcterms:modified xsi:type="dcterms:W3CDTF">2026-07-21T22:04:31Z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