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  <sheet name="⑤清掃周期" sheetId="6" r:id="rId6"/>
  </sheets>
  <calcPr calcId="124519" fullCalcOnLoad="1"/>
</workbook>
</file>

<file path=xl/sharedStrings.xml><?xml version="1.0" encoding="utf-8"?>
<sst xmlns="http://schemas.openxmlformats.org/spreadsheetml/2006/main" count="278" uniqueCount="198">
  <si>
    <t>P-1507 吸入ストレーナ 40→250メッシュ 技術評価</t>
  </si>
  <si>
    <t>黄=入力(出典)。白の結果はクリックで数式。物性=Aspen係数表参照。CV=AGVB実流量特性カーブ補間＋DCS実機照合(③)。差圧直読タグが無いため監視は清掃周期(⑤)主体。</t>
  </si>
  <si>
    <t>①NPSH</t>
  </si>
  <si>
    <t>限界ΔP=(NPSHa−NPSHr)×ρg</t>
  </si>
  <si>
    <t>②ストレーナ</t>
  </si>
  <si>
    <t>ろ過面積(円錐式)/Re/閉塞率→ΔP(82.6%)</t>
  </si>
  <si>
    <t>③CV監視(両弁)</t>
  </si>
  <si>
    <t>AGVBカーブ補間＋DCS照合(Cv=21確定)。開度変化FC-1531+8%/FC-1535+6%</t>
  </si>
  <si>
    <t>④物性(Aspen)</t>
  </si>
  <si>
    <t>係数表→μ(T)/ρ(T)/Pvp(T)→低温ΔP(T)</t>
  </si>
  <si>
    <t>① NPSH / キャビ余裕</t>
  </si>
  <si>
    <t>考え方：塔頂圧≒蒸気圧で相殺→NPSHa≈静水頭で一定。削るのはストレーナΔPのみ。</t>
  </si>
  <si>
    <t>項目</t>
  </si>
  <si>
    <t>値/式</t>
  </si>
  <si>
    <t>単位</t>
  </si>
  <si>
    <t>出典・注記</t>
  </si>
  <si>
    <t>NPSHa</t>
  </si>
  <si>
    <t>m</t>
  </si>
  <si>
    <t>荏原試験 RM17156-13。★基準面要確認</t>
  </si>
  <si>
    <t>NPSHr</t>
  </si>
  <si>
    <t>同試験(規定9.8m³/h)。★運転点要確認</t>
  </si>
  <si>
    <t>DEG密度</t>
  </si>
  <si>
    <t>kg/m³</t>
  </si>
  <si>
    <t>Aspen DNLDIP@158.8℃</t>
  </si>
  <si>
    <t>NPSH余力</t>
  </si>
  <si>
    <t>限界ストレーナΔP</t>
  </si>
  <si>
    <t>kPa</t>
  </si>
  <si>
    <t>結論：通常運転はクリーン3.6kPa＝余力の約3%。約83%閉塞で余裕喪失。差圧の直読タグは無いため、CV開度トレンド＋現場パトロール＋清掃周期管理(⑤)で監視。</t>
  </si>
  <si>
    <t>② ストレーナ：クリーン差圧・ろ過面積(円錐)・Re・閉塞率→差圧</t>
  </si>
  <si>
    <t>考え方：ΔP∝1/開口比²。ろ過面積は図面寸法から円錐側面積。Reで層流確認。閉塞は ΔP=クリーン/(残存開口)²。</t>
  </si>
  <si>
    <t>出典・式</t>
  </si>
  <si>
    <t>開口比 40メッシュ</t>
  </si>
  <si>
    <t>-</t>
  </si>
  <si>
    <t>実値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</si>
  <si>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</si>
  <si>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</si>
  <si>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</si>
  <si>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</si>
  <si>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</si>
  <si>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</si>
  <si>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ろ過面積（円錐型・図面寸法から算出）―</t>
  </si>
  <si>
    <t>配管内径 ID</t>
  </si>
  <si>
    <t>mm</t>
  </si>
  <si>
    <t>図面：2B</t>
  </si>
  <si>
    <t>円錐軸長 L</t>
  </si>
  <si>
    <t>図面：YAC EWPCL-150S 2B寸法表</t>
  </si>
  <si>
    <t>底面半径 r</t>
  </si>
  <si>
    <t>母線長(斜辺)</t>
  </si>
  <si>
    <t>ろ過面積(円錐側面)</t>
  </si>
  <si>
    <t>cm²</t>
  </si>
  <si>
    <t>― 通過流速・Reynolds数 ―</t>
  </si>
  <si>
    <t>正味開口面積@250</t>
  </si>
  <si>
    <t>流量 Q</t>
  </si>
  <si>
    <t>m³/h</t>
  </si>
  <si>
    <t>2.587T/H÷ρ</t>
  </si>
  <si>
    <t>通過流速 v</t>
  </si>
  <si>
    <t>m/s</t>
  </si>
  <si>
    <t>目開き d(250)</t>
  </si>
  <si>
    <t>62μm</t>
  </si>
  <si>
    <t>DEG密度@158.8</t>
  </si>
  <si>
    <t>Aspen</t>
  </si>
  <si>
    <t>DEG粘度@158.8</t>
  </si>
  <si>
    <t>cP</t>
  </si>
  <si>
    <t>孔Reynolds数</t>
  </si>
  <si>
    <t>― 閉塞率 → ストレーナ差圧 ―</t>
  </si>
  <si>
    <t>クリーンΔP@158.8℃[kPa]</t>
  </si>
  <si>
    <t>②上</t>
  </si>
  <si>
    <t>NPSH余力[kPa]</t>
  </si>
  <si>
    <t>①より</t>
  </si>
  <si>
    <t>閉塞率 b[%]</t>
  </si>
  <si>
    <t>残存開口(1-b)</t>
  </si>
  <si>
    <t>ストレーナΔP[kPa]</t>
  </si>
  <si>
    <t>NPSH余力(限界)</t>
  </si>
  <si>
    <t>←約83%閉塞で余裕喪失</t>
  </si>
  <si>
    <t>結論：ろ過面積≈101cm²。初期差圧は小。約83%閉塞で余裕喪失。監視はCV開度トレンド＋現場パトロール(1日1回)＋清掃周期見積り(⑤)。</t>
  </si>
  <si>
    <t>③ 制御弁開度で閉塞監視できるか（AGVB実カーブ＋DCS実機照合）</t>
  </si>
  <si>
    <t>考え方：開度↔Cv%はAGVB実流量特性カーブ(右表)を線形補間。目詰まりで吐出↓＝CV差圧↓→必要Cvが増え弁が開く。その開度上昇を実カーブで算出し、DCS実機で照合。</t>
  </si>
  <si>
    <t>弁式：Q[m³/h]=K·Cv·√(ΔP[kPa]/SG)。Cv=Cv定格×Cv%(開度)。K=0.0865。</t>
  </si>
  <si>
    <t>AGVB 等％流量特性(出典:Azbil AGVB Fig.5／物性ツール dVchar 'AGVB_EQ%_1B以下')</t>
  </si>
  <si>
    <t>開度[%]</t>
  </si>
  <si>
    <t>Cv[%]</t>
  </si>
  <si>
    <t>FC-1531</t>
  </si>
  <si>
    <t>FC-1535</t>
  </si>
  <si>
    <t>T/H</t>
  </si>
  <si>
    <t>DCS実績中央値</t>
  </si>
  <si>
    <t>DEG密度 ρ</t>
  </si>
  <si>
    <t>FC-1531:E-1509後/FC-1535:台帳110℃</t>
  </si>
  <si>
    <t>Cv 定格</t>
  </si>
  <si>
    <t>★DCS照合で確定(下表)。台帳14はΔP不可</t>
  </si>
  <si>
    <t>開度(運転)</t>
  </si>
  <si>
    <t>%</t>
  </si>
  <si>
    <t>Cv%(開度)←カーブ補間</t>
  </si>
  <si>
    <t>AGVB等％カーブ(右表)を線形補間</t>
  </si>
  <si>
    <t>実Cv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</si>
  <si>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</si>
  <si>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</si>
  <si>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</si>
  <si>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</si>
  <si>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</si>
  <si>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</si>
  <si>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</t>
  </si>
  <si>
    <t>キャビ時 ΔPcv</t>
  </si>
  <si>
    <t>必要Cv%(キャビ時)</t>
  </si>
  <si>
    <t>新開度←カーブ逆補間</t>
  </si>
  <si>
    <t>開度変化(クリーン→余裕喪失)</t>
  </si>
  <si>
    <t>― DCS実機データ照合（e908199c PV/MV 2022-2026, n≈1200）―</t>
  </si>
  <si>
    <t>照合項目</t>
  </si>
  <si>
    <t>判定</t>
  </si>
  <si>
    <t>Q/Cv%(MV) 変動係数</t>
  </si>
  <si>
    <t>6%</t>
  </si>
  <si>
    <t>9%</t>
  </si>
  <si>
    <t>小=AGVBカーブと整合(モデルOK)</t>
  </si>
  <si>
    <t>逆算ΔPcv(Cv14)</t>
  </si>
  <si>
    <t>中央598</t>
  </si>
  <si>
    <t>19%が吐出660超=物理不可→Cv14は誤</t>
  </si>
  <si>
    <t>逆算ΔPcv(Cv21/4.0)</t>
  </si>
  <si>
    <t>中央266</t>
  </si>
  <si>
    <t>中央310</t>
  </si>
  <si>
    <t>0〜1%のみ超=妥当→Cv定格21/4.0で確定</t>
  </si>
  <si>
    <t>結論：実カーブ＋実機照合で、キャビ(117kPa)到達まで FC-1531 +8%／FC-1535 +6% 開く。</t>
  </si>
  <si>
    <t>→ +6〜8%は通常の流量変動(±5〜10%)と同程度。差圧直読タグは無いため、主管理は清掃周期(⑤)＋現場パトロール、CV開度トレンドは“弱い兆候”として補助に使う。</t>
  </si>
  <si>
    <t>④ 物性(Aspen係数表→式)と低温起動の影響</t>
  </si>
  <si>
    <t>考え方：細目網は低Re=層流でΔP∝μ。係数表からμ(T)/ρ(T)/Pvp(T)→低温で250ΔP(T)がNPSH余力をどこまで食うか。</t>
  </si>
  <si>
    <t>■ 物性係数（出典：Aspen物性ツール modAspenPropData.bas／Shell EOEG datadeck v4.01。式がこの係数を参照）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</si>
  <si>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</si>
  <si>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</si>
  <si>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</si>
  <si>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</si>
  <si>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</si>
  <si>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</si>
  <si>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(270–450K)</t>
  </si>
  <si>
    <t>C2</t>
  </si>
  <si>
    <t>C3</t>
  </si>
  <si>
    <t>密度 DNLDIP</t>
  </si>
  <si>
    <t>ρ[kmol/m³]=C1/C2^(1+(1−T/C3)^C4)×MW</t>
  </si>
  <si>
    <t>C4</t>
  </si>
  <si>
    <t>MW</t>
  </si>
  <si>
    <t>DEG分子量</t>
  </si>
  <si>
    <t>蒸気圧 PLXANT</t>
  </si>
  <si>
    <t>lnP[Pa]=C1+C2/T+C5·lnT+C6·T^C7</t>
  </si>
  <si>
    <t>C5</t>
  </si>
  <si>
    <t>C6</t>
  </si>
  <si>
    <t>C7</t>
  </si>
  <si>
    <t>■ 評価入力</t>
  </si>
  <si>
    <t>250クリーンΔP@158.8℃[kPa]</t>
  </si>
  <si>
    <t>②より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</si>
  <si>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</si>
  <si>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</si>
  <si>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</si>
  <si>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</si>
  <si>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</si>
  <si>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</si>
  <si>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</si>
  <si>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</si>
  <si>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検証:158.8℃→μ≈1.16/ρ≈1010/Pvp≈5.5。MULDIP適用270–450K内。</t>
  </si>
  <si>
    <t>結論(条件付き)：</t>
  </si>
  <si>
    <t>・通常運転(150〜160℃)は問題なし。</t>
  </si>
  <si>
    <t>・最悪上限(定格流量×完全層流×定常NPSH)で20℃クリーンΔPが余力117kPaにほぼ達する。</t>
  </si>
  <si>
    <t>・緩和：起動低流量→ΔP∝v、低温でPvp激減→NPSHa改善。</t>
  </si>
  <si>
    <t>→ 対策：~50℃以上へ暖機/低流量起動/冷態は40メッシュ。起動時は閉塞速度を現場で確認。</t>
  </si>
  <si>
    <t>⑤清掃周期</t>
  </si>
  <si>
    <t>操油課250メッシュ実績→ろ過面積比＋流量比で当方の清掃周期を換算(★回答待ち)</t>
  </si>
  <si>
    <t>⑤ 清掃周期の見積り（操油課250メッシュ実績 → ろ過面積比換算）</t>
  </si>
  <si>
    <t>考え方：閉塞(清掃)までの時間 t ∝ ろ過面積 ÷ (通液流量 × 固形分濃度)。操油課の250メッシュ実績(周期・面積・流量)を入力すれば、面積比＋流量比で当方の周期を換算できる。固形分濃度はサービスが異なり不明のため同程度と仮置き(要確認)。★＝操油課回答待ち(木村課長へ照会済)。初期は安全側で早めに点検し、起動時の閉塞速度とCV開度トレンドで実機補正する。</t>
  </si>
  <si>
    <t>■ 入力：操油課 250メッシュ実績（★は回答待ち）</t>
  </si>
  <si>
    <t>値</t>
  </si>
  <si>
    <t>操油課 清掃(閉塞)周期 T_ref</t>
  </si>
  <si>
    <t>日</t>
  </si>
  <si>
    <t>★操油課回答待ち（暫定90日）</t>
  </si>
  <si>
    <t>操油課 ろ過面積 A_ref</t>
  </si>
  <si>
    <t>★操油課回答待ち（暫定200cm²）</t>
  </si>
  <si>
    <t>操油課 通液流量 Q_ref</t>
  </si>
  <si>
    <t>★操油課回答待ち（暫定5m³/h）</t>
  </si>
  <si>
    <t>操油課 閉塞時の状況(参考)</t>
  </si>
  <si>
    <t>差圧上昇で清掃</t>
  </si>
  <si>
    <t>★差圧の上がり方も照会中</t>
  </si>
  <si>
    <t>■ 当方条件（本検討より自動引用）</t>
  </si>
  <si>
    <t>当方 ろ過面積 A_us</t>
  </si>
  <si>
    <t>②ストレーナ ろ過面積(円錐式)</t>
  </si>
  <si>
    <t>当方 通液流量 Q_us</t>
  </si>
  <si>
    <t>②ストレーナ 流量(2.587T/H÷ρ)</t>
  </si>
  <si>
    <t>■ ろ過面積比換算による推定清掃周期</t>
  </si>
  <si>
    <t>式・注記</t>
  </si>
  <si>
    <t>面積比 (当方/操油課)</t>
  </si>
  <si>
    <t>流量比補正 (操油課/当方)</t>
  </si>
  <si>
    <t>固形分濃度比補正</t>
  </si>
  <si>
    <t>★サービス差で不明→同程度と仮置き(要確認)</t>
  </si>
  <si>
    <t>推定清掃周期① 面積比のみ</t>
  </si>
  <si>
    <t>推定清掃周期② 流量・濃度補正込</t>
  </si>
  <si>
    <t>初回点検時期(安全側)</t>
  </si>
  <si>
    <t>初期は推定周期の1/2で点検→実績で延伸</t>
  </si>
  <si>
    <t>■ 感度表：操油課ろ過面積A_refを振った当方推定周期（T_ref・補正は上の入力値を使用）</t>
  </si>
  <si>
    <t>A_ref[cm²]</t>
  </si>
  <si>
    <t>面積比</t>
  </si>
  <si>
    <t>推定周期②[日]</t>
  </si>
  <si>
    <t>注記</t>
  </si>
  <si>
    <t>操油課面積が小さいほど当方は長持ち</t>
  </si>
  <si>
    <t>運用：①まず操油課データで推定周期を確定 → ②初期は推定周期の1/2で開放点検し閉塞量を実測 → ③起動時の閉塞速度とCV開度トレンド(DCS)・現場パトロール(1日1回)で周期を実機補正 → ④以後は補正済み周期で定期清掃。差圧直読タグが無いため、定量管理はこの清掃周期が主軸。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</si>
</sst>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.0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0" fillId="3" borderId="0" xfId="0" applyFill="1"/>
    <xf numFmtId="0" fontId="5" fillId="0" borderId="0" xfId="0" applyFont="1" applyAlignment="1">
      <alignment wrapText="1"/>
    </xf>
    <xf numFmtId="0" fontId="2" fillId="4" borderId="0" xfId="0" applyFont="1" applyFill="1"/>
    <xf numFmtId="0" fontId="0" fillId="5" borderId="0" xfId="0" applyFill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0" fontId="8" fillId="3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ストレーナ差圧（約83%で余裕喪失）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ストレーナ差圧</c:v>
          </c:tx>
          <c:xVal>
            <c:numRef>
              <c:f>②ストレーナ!$A$35:$A$43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②ストレーナ!$C$35:$C$43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NPSH余力(限界117)</c:v>
          </c:tx>
          <c:xVal>
            <c:numRef>
              <c:f>②ストレーナ!$A$35:$A$43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②ストレーナ!$D$35:$D$43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AGVB 等％ 流量特性（開度 vs Cv%）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AGVB 等％</c:v>
          </c:tx>
          <c:xVal>
            <c:numRef>
              <c:f>'③CV監視(両弁)'!$G$5:$G$14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'③CV監視(両弁)'!$H$5:$H$14</c:f>
              <c:numCache>
                <c:formatCode>General</c:formatCode>
                <c:ptCount val="10"/>
                <c:pt idx="0">
                  <c:v>3.2</c:v>
                </c:pt>
                <c:pt idx="1">
                  <c:v>5</c:v>
                </c:pt>
                <c:pt idx="2">
                  <c:v>7.4</c:v>
                </c:pt>
                <c:pt idx="3">
                  <c:v>11</c:v>
                </c:pt>
                <c:pt idx="4">
                  <c:v>16</c:v>
                </c:pt>
                <c:pt idx="5">
                  <c:v>24</c:v>
                </c:pt>
                <c:pt idx="6">
                  <c:v>34</c:v>
                </c:pt>
                <c:pt idx="7">
                  <c:v>50</c:v>
                </c:pt>
                <c:pt idx="8">
                  <c:v>74</c:v>
                </c:pt>
                <c:pt idx="9">
                  <c:v>100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開度 [%]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 [%]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μ(T)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250ΔP(T)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限界117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差圧/余力 [kPa]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操油課ろ過面積 vs 当方推定清掃周期（★暫定値）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当方 推定清掃周期</c:v>
          </c:tx>
          <c:dLbls>
            <c:showVal val="1"/>
          </c:dLbls>
          <c:cat>
            <c:numRef>
              <c:f>⑤清掃周期!$A$27:$A$31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</c:numCache>
            </c:numRef>
          </c:cat>
          <c:val>
            <c:numRef>
              <c:f>⑤清掃周期!$C$27:$C$31</c:f>
              <c:numCache>
                <c:formatCode>General</c:formatCode>
                <c:ptCount val="5"/>
                <c:pt idx="0">
                  <c:v>391.3</c:v>
                </c:pt>
                <c:pt idx="1">
                  <c:v>195.6</c:v>
                </c:pt>
                <c:pt idx="2">
                  <c:v>97.8</c:v>
                </c:pt>
                <c:pt idx="3">
                  <c:v>65.2</c:v>
                </c:pt>
                <c:pt idx="4">
                  <c:v>39.1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操油課 ろ過面積 A_ref [cm²]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当方 推定清掃周期 [日]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14</xdr:col>
      <xdr:colOff>38100</xdr:colOff>
      <xdr:row>32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381000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381000</xdr:colOff>
      <xdr:row>35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0"/>
  <sheetViews>
    <sheetView tabSelected="1" workbookViewId="0"/>
  </sheetViews>
  <sheetFormatPr defaultRowHeight="15"/>
  <cols>
    <col min="1" max="1" width="3.42578125" customWidth="1"/>
    <col min="2" max="2" width="35.42578125" customWidth="1"/>
    <col min="3" max="3" width="63.42578125" customWidth="1"/>
  </cols>
  <sheetData>
    <row r="1" spans="2:3">
      <c r="B1" s="1" t="s">
        <v>0</v>
      </c>
    </row>
    <row r="3" spans="2:3">
      <c r="B3" s="2" t="s">
        <v>1</v>
      </c>
    </row>
    <row r="6" spans="2:3">
      <c r="B6" s="2" t="s">
        <v>2</v>
      </c>
      <c r="C6" s="3" t="s">
        <v>3</v>
      </c>
    </row>
    <row r="7" spans="2:3">
      <c r="B7" s="2" t="s">
        <v>4</v>
      </c>
      <c r="C7" s="3" t="s">
        <v>5</v>
      </c>
    </row>
    <row r="8" spans="2:3">
      <c r="B8" s="2" t="s">
        <v>6</v>
      </c>
      <c r="C8" s="3" t="s">
        <v>7</v>
      </c>
    </row>
    <row r="9" spans="2:3">
      <c r="B9" s="2" t="s">
        <v>8</v>
      </c>
      <c r="C9" s="3" t="s">
        <v>9</v>
      </c>
    </row>
    <row r="10" spans="2:3">
      <c r="B10" t="s">
        <v>160</v>
      </c>
      <c r="C10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7.42578125" customWidth="1"/>
    <col min="2" max="2" width="13.42578125" customWidth="1"/>
    <col min="3" max="3" width="9.42578125" customWidth="1"/>
    <col min="4" max="4" width="55.42578125" customWidth="1"/>
  </cols>
  <sheetData>
    <row r="1" spans="1:4">
      <c r="A1" s="1" t="s">
        <v>10</v>
      </c>
    </row>
    <row r="2" spans="1:4">
      <c r="A2" s="4" t="s">
        <v>11</v>
      </c>
    </row>
    <row r="4" spans="1:4">
      <c r="A4" s="5" t="s">
        <v>12</v>
      </c>
      <c r="B4" s="5" t="s">
        <v>13</v>
      </c>
      <c r="C4" s="5" t="s">
        <v>14</v>
      </c>
      <c r="D4" s="5" t="s">
        <v>15</v>
      </c>
    </row>
    <row r="5" spans="1:4">
      <c r="A5" s="3" t="s">
        <v>16</v>
      </c>
      <c r="B5" s="6">
        <v>14</v>
      </c>
      <c r="C5" s="3" t="s">
        <v>17</v>
      </c>
      <c r="D5" s="4" t="s">
        <v>18</v>
      </c>
    </row>
    <row r="6" spans="1:4">
      <c r="A6" s="3" t="s">
        <v>19</v>
      </c>
      <c r="B6" s="6">
        <v>2.2</v>
      </c>
      <c r="C6" s="3" t="s">
        <v>17</v>
      </c>
      <c r="D6" s="4" t="s">
        <v>20</v>
      </c>
    </row>
    <row r="7" spans="1:4">
      <c r="A7" s="3" t="s">
        <v>21</v>
      </c>
      <c r="B7" s="6">
        <v>1010</v>
      </c>
      <c r="C7" s="3" t="s">
        <v>22</v>
      </c>
      <c r="D7" s="4" t="s">
        <v>23</v>
      </c>
    </row>
    <row r="8" spans="1:4">
      <c r="A8" s="3" t="s">
        <v>24</v>
      </c>
      <c r="B8" s="3">
        <f>B5-B6</f>
        <v>11.8</v>
      </c>
      <c r="C8" s="3" t="s">
        <v>17</v>
      </c>
      <c r="D8" s="4">
        <f>NPSHa−NPSHr</f>
        <v>0</v>
      </c>
    </row>
    <row r="9" spans="1:4">
      <c r="A9" s="7" t="s">
        <v>25</v>
      </c>
      <c r="B9" s="8">
        <f>B8*B7*9.81/1000</f>
        <v>116.9</v>
      </c>
      <c r="C9" s="3" t="s">
        <v>26</v>
      </c>
      <c r="D9" s="4">
        <f>余力×ρ×9.81/1000。余裕喪失点</f>
        <v>0</v>
      </c>
    </row>
    <row r="11" spans="1:4">
      <c r="A11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27.42578125" customWidth="1"/>
    <col min="2" max="2" width="14.42578125" customWidth="1"/>
    <col min="3" max="3" width="9.42578125" customWidth="1"/>
    <col min="4" max="4" width="49.42578125" customWidth="1"/>
  </cols>
  <sheetData>
    <row r="1" spans="1:4">
      <c r="A1" s="1" t="s">
        <v>28</v>
      </c>
    </row>
    <row r="2" spans="1:4">
      <c r="A2" s="4" t="s">
        <v>29</v>
      </c>
    </row>
    <row r="4" spans="1:4">
      <c r="A4" s="5" t="s">
        <v>12</v>
      </c>
      <c r="B4" s="5" t="s">
        <v>13</v>
      </c>
      <c r="C4" s="5" t="s">
        <v>14</v>
      </c>
      <c r="D4" s="5" t="s">
        <v>30</v>
      </c>
    </row>
    <row r="5" spans="1:4">
      <c r="A5" s="3" t="s">
        <v>31</v>
      </c>
      <c r="B5" s="6">
        <v>0.36</v>
      </c>
      <c r="C5" s="3" t="s">
        <v>32</v>
      </c>
      <c r="D5" s="4" t="s">
        <v>33</v>
      </c>
    </row>
    <row r="6" spans="1:4">
      <c r="A6" s="3" t="s">
        <v>34</v>
      </c>
      <c r="B6" s="6">
        <v>0.27</v>
      </c>
      <c r="C6" s="3" t="s">
        <v>32</v>
      </c>
      <c r="D6" s="4" t="s">
        <v>33</v>
      </c>
    </row>
    <row r="7" spans="1:4">
      <c r="A7" s="3" t="s">
        <v>35</v>
      </c>
      <c r="B7" s="6">
        <v>2</v>
      </c>
      <c r="C7" s="3" t="s">
        <v>26</v>
      </c>
      <c r="D7" s="4" t="s">
        <v>36</v>
      </c>
    </row>
    <row r="8" spans="1:4">
      <c r="A8" s="3" t="s">
        <v>37</v>
      </c>
      <c r="B8" s="3">
        <f>B5/B6</f>
        <v>1.333</v>
      </c>
      <c r="C8" s="3" t="s">
        <v>32</v>
      </c>
      <c r="D8" s="4">
        <f>開口比40/250</f>
        <v>0</v>
      </c>
    </row>
    <row r="9" spans="1:4">
      <c r="A9" s="3" t="s">
        <v>38</v>
      </c>
      <c r="B9" s="3">
        <f>B8^2</f>
        <v>1.778</v>
      </c>
      <c r="C9" s="3" t="s">
        <v>32</v>
      </c>
      <c r="D9" s="4">
        <f>流速比²</f>
        <v>0</v>
      </c>
    </row>
    <row r="10" spans="1:4">
      <c r="A10" s="7" t="s">
        <v>39</v>
      </c>
      <c r="B10" s="8">
        <f>B7*B9</f>
        <v>3.56</v>
      </c>
      <c r="C10" s="3" t="s">
        <v>26</v>
      </c>
      <c r="D10" s="4">
        <f>ΔP40×差圧比</f>
        <v>0</v>
      </c>
    </row>
    <row r="12" spans="1:4">
      <c r="A12" s="2" t="s">
        <v>40</v>
      </c>
    </row>
    <row r="13" spans="1:4">
      <c r="A13" s="5" t="s">
        <v>12</v>
      </c>
      <c r="B13" s="5" t="s">
        <v>13</v>
      </c>
      <c r="C13" s="5" t="s">
        <v>14</v>
      </c>
      <c r="D13" s="5" t="s">
        <v>30</v>
      </c>
    </row>
    <row r="14" spans="1:4">
      <c r="A14" s="3" t="s">
        <v>41</v>
      </c>
      <c r="B14" s="6">
        <v>52.5</v>
      </c>
      <c r="C14" s="3" t="s">
        <v>42</v>
      </c>
      <c r="D14" s="4" t="s">
        <v>43</v>
      </c>
    </row>
    <row r="15" spans="1:4">
      <c r="A15" s="3" t="s">
        <v>44</v>
      </c>
      <c r="B15" s="6">
        <v>120</v>
      </c>
      <c r="C15" s="3" t="s">
        <v>42</v>
      </c>
      <c r="D15" s="4" t="s">
        <v>45</v>
      </c>
    </row>
    <row r="16" spans="1:4">
      <c r="A16" s="3" t="s">
        <v>46</v>
      </c>
      <c r="B16" s="3">
        <f>B14/2</f>
        <v>26.25</v>
      </c>
      <c r="C16" s="3" t="s">
        <v>42</v>
      </c>
      <c r="D16" s="4">
        <f>ID/2</f>
        <v>0</v>
      </c>
    </row>
    <row r="17" spans="1:4">
      <c r="A17" s="3" t="s">
        <v>47</v>
      </c>
      <c r="B17" s="3">
        <f>SQRT(B16^2+B15^2)</f>
        <v>122.84</v>
      </c>
      <c r="C17" s="3" t="s">
        <v>42</v>
      </c>
      <c r="D17" s="4">
        <f>√(r²+L²)</f>
        <v>0</v>
      </c>
    </row>
    <row r="18" spans="1:4">
      <c r="A18" s="7" t="s">
        <v>48</v>
      </c>
      <c r="B18" s="8">
        <f>PI()*B16*B17/100</f>
        <v>101.3</v>
      </c>
      <c r="C18" s="3" t="s">
        <v>49</v>
      </c>
      <c r="D18" s="4">
        <f>π×r×母線/100。配管断面の約4.7倍</f>
        <v>0</v>
      </c>
    </row>
    <row r="20" spans="1:4">
      <c r="A20" s="2" t="s">
        <v>50</v>
      </c>
    </row>
    <row r="21" spans="1:4">
      <c r="A21" s="5" t="s">
        <v>12</v>
      </c>
      <c r="B21" s="5" t="s">
        <v>13</v>
      </c>
      <c r="C21" s="5" t="s">
        <v>14</v>
      </c>
      <c r="D21" s="5" t="s">
        <v>30</v>
      </c>
    </row>
    <row r="22" spans="1:4">
      <c r="A22" s="3" t="s">
        <v>51</v>
      </c>
      <c r="B22" s="3">
        <f>B18*B6</f>
        <v>27.4</v>
      </c>
      <c r="C22" s="3" t="s">
        <v>49</v>
      </c>
      <c r="D22" s="4">
        <f>ろ過面積×開口比250</f>
        <v>0</v>
      </c>
    </row>
    <row r="23" spans="1:4">
      <c r="A23" s="3" t="s">
        <v>52</v>
      </c>
      <c r="B23" s="6">
        <v>2.33</v>
      </c>
      <c r="C23" s="3" t="s">
        <v>53</v>
      </c>
      <c r="D23" s="4" t="s">
        <v>54</v>
      </c>
    </row>
    <row r="24" spans="1:4">
      <c r="A24" s="3" t="s">
        <v>55</v>
      </c>
      <c r="B24" s="3">
        <f>B23/3600/(B22/10000)</f>
        <v>0.236</v>
      </c>
      <c r="C24" s="3" t="s">
        <v>56</v>
      </c>
      <c r="D24" s="4">
        <f>Q/正味開口面積</f>
        <v>0</v>
      </c>
    </row>
    <row r="25" spans="1:4">
      <c r="A25" s="3" t="s">
        <v>57</v>
      </c>
      <c r="B25" s="6">
        <v>0.062</v>
      </c>
      <c r="C25" s="3" t="s">
        <v>42</v>
      </c>
      <c r="D25" s="4" t="s">
        <v>58</v>
      </c>
    </row>
    <row r="26" spans="1:4">
      <c r="A26" s="3" t="s">
        <v>59</v>
      </c>
      <c r="B26" s="6">
        <v>1010</v>
      </c>
      <c r="C26" s="3" t="s">
        <v>22</v>
      </c>
      <c r="D26" s="4" t="s">
        <v>60</v>
      </c>
    </row>
    <row r="27" spans="1:4">
      <c r="A27" s="3" t="s">
        <v>61</v>
      </c>
      <c r="B27" s="6">
        <v>1.16</v>
      </c>
      <c r="C27" s="3" t="s">
        <v>62</v>
      </c>
      <c r="D27" s="4" t="s">
        <v>60</v>
      </c>
    </row>
    <row r="28" spans="1:4">
      <c r="A28" s="7" t="s">
        <v>63</v>
      </c>
      <c r="B28" s="8">
        <f>B26*B24*(B25/1000)/(B27/1000)</f>
        <v>13</v>
      </c>
      <c r="C28" s="3" t="s">
        <v>32</v>
      </c>
      <c r="D28" s="4">
        <f>ρ·v·d/μ。Re十数=層流→④のΔP∝μ</f>
        <v>0</v>
      </c>
    </row>
    <row r="30" spans="1:4">
      <c r="A30" s="2" t="s">
        <v>64</v>
      </c>
    </row>
    <row r="31" spans="1:4">
      <c r="A31" s="3" t="s">
        <v>65</v>
      </c>
      <c r="B31" s="6">
        <v>3.56</v>
      </c>
      <c r="C31" s="4" t="s">
        <v>66</v>
      </c>
    </row>
    <row r="32" spans="1:4">
      <c r="A32" s="3" t="s">
        <v>67</v>
      </c>
      <c r="B32" s="6">
        <v>117</v>
      </c>
      <c r="C32" s="4" t="s">
        <v>68</v>
      </c>
    </row>
    <row r="34" spans="1:5">
      <c r="A34" s="5" t="s">
        <v>69</v>
      </c>
      <c r="B34" s="5" t="s">
        <v>70</v>
      </c>
      <c r="C34" s="5" t="s">
        <v>71</v>
      </c>
      <c r="D34" s="5" t="s">
        <v>72</v>
      </c>
    </row>
    <row r="35" spans="1:5">
      <c r="A35" s="6">
        <v>0</v>
      </c>
      <c r="B35" s="3">
        <f>1-A35/100</f>
        <v>1.0</v>
      </c>
      <c r="C35" s="3">
        <f>$B$31/(B35)^2</f>
        <v>3.56</v>
      </c>
      <c r="D35" s="3">
        <f>$B$32</f>
        <v>117</v>
      </c>
    </row>
    <row r="36" spans="1:5">
      <c r="A36" s="6">
        <v>30</v>
      </c>
      <c r="B36" s="3">
        <f>1-A36/100</f>
        <v>0.7</v>
      </c>
      <c r="C36" s="3">
        <f>$B$31/(B36)^2</f>
        <v>7.2653061224489806</v>
      </c>
      <c r="D36" s="3">
        <f>$B$32</f>
        <v>117</v>
      </c>
    </row>
    <row r="37" spans="1:5">
      <c r="A37" s="6">
        <v>50</v>
      </c>
      <c r="B37" s="3">
        <f>1-A37/100</f>
        <v>0.5</v>
      </c>
      <c r="C37" s="3">
        <f>$B$31/(B37)^2</f>
        <v>14.24</v>
      </c>
      <c r="D37" s="3">
        <f>$B$32</f>
        <v>117</v>
      </c>
    </row>
    <row r="38" spans="1:5">
      <c r="A38" s="6">
        <v>70</v>
      </c>
      <c r="B38" s="3">
        <f>1-A38/100</f>
        <v>0.30000000000000004</v>
      </c>
      <c r="C38" s="3">
        <f>$B$31/(B38)^2</f>
        <v>39.55555555555554</v>
      </c>
      <c r="D38" s="3">
        <f>$B$32</f>
        <v>117</v>
      </c>
    </row>
    <row r="39" spans="1:5">
      <c r="A39" s="6">
        <v>80</v>
      </c>
      <c r="B39" s="3">
        <f>1-A39/100</f>
        <v>0.19999999999999996</v>
      </c>
      <c r="C39" s="3">
        <f>$B$31/(B39)^2</f>
        <v>89.00000000000004</v>
      </c>
      <c r="D39" s="3">
        <f>$B$32</f>
        <v>117</v>
      </c>
    </row>
    <row r="40" spans="1:5">
      <c r="A40" s="6">
        <v>82.59999999999999</v>
      </c>
      <c r="B40" s="3">
        <f>1-A40/100</f>
        <v>0.17400000000000004</v>
      </c>
      <c r="C40" s="3">
        <f>$B$31/(B40)^2</f>
        <v>117.58488571806045</v>
      </c>
      <c r="D40" s="3">
        <f>$B$32</f>
        <v>117</v>
      </c>
      <c r="E40" s="7" t="s">
        <v>73</v>
      </c>
    </row>
    <row r="41" spans="1:5">
      <c r="A41" s="6">
        <v>85</v>
      </c>
      <c r="B41" s="3">
        <f>1-A41/100</f>
        <v>0.15000000000000002</v>
      </c>
      <c r="C41" s="3">
        <f>$B$31/(B41)^2</f>
        <v>158.22222222222217</v>
      </c>
      <c r="D41" s="3">
        <f>$B$32</f>
        <v>117</v>
      </c>
    </row>
    <row r="42" spans="1:5">
      <c r="A42" s="6">
        <v>90</v>
      </c>
      <c r="B42" s="3">
        <f>1-A42/100</f>
        <v>0.09999999999999998</v>
      </c>
      <c r="C42" s="3">
        <f>$B$31/(B42)^2</f>
        <v>356.00000000000017</v>
      </c>
      <c r="D42" s="3">
        <f>$B$32</f>
        <v>117</v>
      </c>
    </row>
    <row r="43" spans="1:5">
      <c r="A43" s="6">
        <v>95</v>
      </c>
      <c r="B43" s="3">
        <f>1-A43/100</f>
        <v>0.050000000000000044</v>
      </c>
      <c r="C43" s="3">
        <f>$B$31/(B43)^2</f>
        <v>1423.9999999999975</v>
      </c>
      <c r="D43" s="3">
        <f>$B$32</f>
        <v>117</v>
      </c>
    </row>
    <row r="46" spans="1:5">
      <c r="A46" s="2" t="s">
        <v>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29.42578125" customWidth="1"/>
    <col min="2" max="2" width="14.42578125" customWidth="1"/>
    <col min="4" max="4" width="9.42578125" customWidth="1"/>
    <col min="5" max="5" width="45.42578125" customWidth="1"/>
    <col min="7" max="7" width="14.42578125" customWidth="1"/>
    <col min="8" max="8" width="12.42578125" customWidth="1"/>
  </cols>
  <sheetData>
    <row r="1" spans="1:8">
      <c r="A1" s="1" t="s">
        <v>75</v>
      </c>
    </row>
    <row r="2" spans="1:8">
      <c r="A2" s="4" t="s">
        <v>76</v>
      </c>
    </row>
    <row r="3" spans="1:8">
      <c r="A3" s="4" t="s">
        <v>77</v>
      </c>
      <c r="G3" s="2" t="s">
        <v>78</v>
      </c>
    </row>
    <row r="4" spans="1:8">
      <c r="G4" s="5" t="s">
        <v>79</v>
      </c>
      <c r="H4" s="5" t="s">
        <v>80</v>
      </c>
    </row>
    <row r="5" spans="1:8">
      <c r="A5" s="5" t="s">
        <v>12</v>
      </c>
      <c r="B5" s="5" t="s">
        <v>81</v>
      </c>
      <c r="C5" s="5" t="s">
        <v>82</v>
      </c>
      <c r="D5" s="5" t="s">
        <v>14</v>
      </c>
      <c r="E5" s="5" t="s">
        <v>30</v>
      </c>
      <c r="G5" s="3">
        <v>10</v>
      </c>
      <c r="H5" s="3">
        <v>3.2</v>
      </c>
    </row>
    <row r="6" spans="1:8">
      <c r="A6" s="3" t="s">
        <v>52</v>
      </c>
      <c r="B6" s="6">
        <v>2.68</v>
      </c>
      <c r="C6" s="6">
        <v>1.55</v>
      </c>
      <c r="D6" s="3" t="s">
        <v>83</v>
      </c>
      <c r="E6" s="4" t="s">
        <v>84</v>
      </c>
      <c r="G6" s="3">
        <v>20</v>
      </c>
      <c r="H6" s="3">
        <v>5</v>
      </c>
    </row>
    <row r="7" spans="1:8">
      <c r="A7" s="3" t="s">
        <v>85</v>
      </c>
      <c r="B7" s="6">
        <v>1110</v>
      </c>
      <c r="C7" s="6">
        <v>1043</v>
      </c>
      <c r="D7" s="3" t="s">
        <v>22</v>
      </c>
      <c r="E7" s="4" t="s">
        <v>86</v>
      </c>
      <c r="G7" s="3">
        <v>30</v>
      </c>
      <c r="H7" s="3">
        <v>7.4</v>
      </c>
    </row>
    <row r="8" spans="1:8">
      <c r="A8" s="3" t="s">
        <v>87</v>
      </c>
      <c r="B8" s="6">
        <v>21</v>
      </c>
      <c r="C8" s="6">
        <v>4</v>
      </c>
      <c r="D8" s="3" t="s">
        <v>32</v>
      </c>
      <c r="E8" s="4" t="s">
        <v>88</v>
      </c>
      <c r="G8" s="3">
        <v>40</v>
      </c>
      <c r="H8" s="3">
        <v>11</v>
      </c>
    </row>
    <row r="9" spans="1:8">
      <c r="A9" s="3" t="s">
        <v>89</v>
      </c>
      <c r="B9" s="6">
        <v>33.7</v>
      </c>
      <c r="C9" s="6">
        <v>60.5</v>
      </c>
      <c r="D9" s="3" t="s">
        <v>90</v>
      </c>
      <c r="E9" s="4" t="s">
        <v>84</v>
      </c>
      <c r="G9" s="3">
        <v>50</v>
      </c>
      <c r="H9" s="3">
        <v>16</v>
      </c>
    </row>
    <row r="10" spans="1:8">
      <c r="A10" s="3" t="s">
        <v>91</v>
      </c>
      <c r="B10" s="3">
        <f>INDEX($H$5:$H$14,MATCH(B9,$G$5:$G$14,1))+(B9-INDEX($G$5:$G$14,MATCH(B9,$G$5:$G$14,1)))*(INDEX($H$5:$H$14,MATCH(B9,$G$5:$G$14,1)+1)-INDEX($H$5:$H$14,MATCH(B9,$G$5:$G$14,1)))/(INDEX($G$5:$G$14,MATCH(B9,$G$5:$G$14,1)+1)-INDEX($G$5:$G$14,MATCH(B9,$G$5:$G$14,1)))</f>
        <v>8.73</v>
      </c>
      <c r="C10" s="3">
        <f>INDEX($H$5:$H$14,MATCH(C9,$G$5:$G$14,1))+(C9-INDEX($G$5:$G$14,MATCH(C9,$G$5:$G$14,1)))*(INDEX($H$5:$H$14,MATCH(C9,$G$5:$G$14,1)+1)-INDEX($H$5:$H$14,MATCH(C9,$G$5:$G$14,1)))/(INDEX($G$5:$G$14,MATCH(C9,$G$5:$G$14,1)+1)-INDEX($G$5:$G$14,MATCH(C9,$G$5:$G$14,1)))</f>
        <v>24.5</v>
      </c>
      <c r="D10" s="3" t="s">
        <v>90</v>
      </c>
      <c r="E10" s="4" t="s">
        <v>92</v>
      </c>
      <c r="G10" s="3">
        <v>60</v>
      </c>
      <c r="H10" s="3">
        <v>24</v>
      </c>
    </row>
    <row r="11" spans="1:8">
      <c r="A11" s="3" t="s">
        <v>93</v>
      </c>
      <c r="B11" s="3">
        <f>B8*B10/100</f>
        <v>1.834</v>
      </c>
      <c r="C11" s="3">
        <f>C8*C10/100</f>
        <v>0.98</v>
      </c>
      <c r="D11" s="3" t="s">
        <v>32</v>
      </c>
      <c r="E11" s="4">
        <f>Cv定格×Cv%/100</f>
        <v>0</v>
      </c>
      <c r="G11" s="3">
        <v>70</v>
      </c>
      <c r="H11" s="3">
        <v>34</v>
      </c>
    </row>
    <row r="12" spans="1:8">
      <c r="A12" s="3" t="s">
        <v>94</v>
      </c>
      <c r="B12" s="6">
        <v>0.08649999999999999</v>
      </c>
      <c r="C12" s="6">
        <v>0.08649999999999999</v>
      </c>
      <c r="D12" s="3" t="s">
        <v>32</v>
      </c>
      <c r="E12" s="4" t="s">
        <v>95</v>
      </c>
      <c r="G12" s="3">
        <v>80</v>
      </c>
      <c r="H12" s="3">
        <v>50</v>
      </c>
    </row>
    <row r="13" spans="1:8">
      <c r="A13" s="3" t="s">
        <v>96</v>
      </c>
      <c r="B13" s="3">
        <f>B7/1000</f>
        <v>1.11</v>
      </c>
      <c r="C13" s="3">
        <f>C7/1000</f>
        <v>1.043</v>
      </c>
      <c r="D13" s="3" t="s">
        <v>32</v>
      </c>
      <c r="E13" s="4">
        <f>ρ/1000</f>
        <v>0</v>
      </c>
      <c r="G13" s="3">
        <v>90</v>
      </c>
      <c r="H13" s="3">
        <v>74</v>
      </c>
    </row>
    <row r="14" spans="1:8">
      <c r="A14" s="3" t="s">
        <v>97</v>
      </c>
      <c r="B14" s="3">
        <f>B6*1000/B7</f>
        <v>2.414</v>
      </c>
      <c r="C14" s="3">
        <f>C6*1000/C7</f>
        <v>1.486</v>
      </c>
      <c r="D14" s="3" t="s">
        <v>53</v>
      </c>
      <c r="E14" s="4">
        <f>T/H×1000/ρ</f>
        <v>0</v>
      </c>
      <c r="G14" s="3">
        <v>100</v>
      </c>
      <c r="H14" s="3">
        <v>100</v>
      </c>
    </row>
    <row r="15" spans="1:8">
      <c r="A15" s="7" t="s">
        <v>98</v>
      </c>
      <c r="B15" s="8">
        <f>B13*(B14/(B12*B11))^2</f>
        <v>257</v>
      </c>
      <c r="C15" s="8">
        <f>C13*(C14/(C12*C11))^2</f>
        <v>320</v>
      </c>
      <c r="D15" s="3" t="s">
        <v>26</v>
      </c>
      <c r="E15" s="4">
        <f>SG·(Q/(K·実Cv))²。DCS逆算中央266/310と整合</f>
        <v>0</v>
      </c>
    </row>
    <row r="16" spans="1:8">
      <c r="A16" s="3" t="s">
        <v>99</v>
      </c>
      <c r="B16" s="6">
        <v>117</v>
      </c>
      <c r="C16" s="6">
        <v>117</v>
      </c>
      <c r="D16" s="3" t="s">
        <v>26</v>
      </c>
      <c r="E16" s="4" t="s">
        <v>100</v>
      </c>
    </row>
    <row r="17" spans="1:5">
      <c r="A17" s="3" t="s">
        <v>101</v>
      </c>
      <c r="B17" s="3">
        <f>B15-B16</f>
        <v>140</v>
      </c>
      <c r="C17" s="3">
        <f>C15-C16</f>
        <v>203</v>
      </c>
      <c r="D17" s="3" t="s">
        <v>26</v>
      </c>
      <c r="E17" s="4">
        <f>ΔPcv0−ΔPs</f>
        <v>0</v>
      </c>
    </row>
    <row r="18" spans="1:5">
      <c r="A18" s="3" t="s">
        <v>102</v>
      </c>
      <c r="B18" s="3">
        <f>B10*SQRT(B15/B17)</f>
        <v>11.83</v>
      </c>
      <c r="C18" s="3">
        <f>C10*SQRT(C15/C17)</f>
        <v>30.75</v>
      </c>
      <c r="D18" s="3" t="s">
        <v>90</v>
      </c>
      <c r="E18" s="4">
        <f>Cv%×√(ΔPcv0/ΔPcv)</f>
        <v>0</v>
      </c>
    </row>
    <row r="19" spans="1:5">
      <c r="A19" s="3" t="s">
        <v>103</v>
      </c>
      <c r="B19" s="3">
        <f>INDEX($G$5:$G$14,MATCH(B18,$H$5:$H$14,1))+(B18-INDEX($H$5:$H$14,MATCH(B18,$H$5:$H$14,1)))*(INDEX($G$5:$G$14,MATCH(B18,$H$5:$H$14,1)+1)-INDEX($G$5:$G$14,MATCH(B18,$H$5:$H$14,1)))/(INDEX($H$5:$H$14,MATCH(B18,$H$5:$H$14,1)+1)-INDEX($H$5:$H$14,MATCH(B18,$H$5:$H$14,1)))</f>
        <v>41.7</v>
      </c>
      <c r="C19" s="3">
        <f>INDEX($G$5:$G$14,MATCH(C18,$H$5:$H$14,1))+(C18-INDEX($H$5:$H$14,MATCH(C18,$H$5:$H$14,1)))*(INDEX($G$5:$G$14,MATCH(C18,$H$5:$H$14,1)+1)-INDEX($G$5:$G$14,MATCH(C18,$H$5:$H$14,1)))/(INDEX($H$5:$H$14,MATCH(C18,$H$5:$H$14,1)+1)-INDEX($H$5:$H$14,MATCH(C18,$H$5:$H$14,1)))</f>
        <v>66.8</v>
      </c>
      <c r="D19" s="3" t="s">
        <v>90</v>
      </c>
      <c r="E19" s="4">
        <f>必要Cv%をカーブで逆引き</f>
        <v>0</v>
      </c>
    </row>
    <row r="20" spans="1:5">
      <c r="A20" s="7" t="s">
        <v>104</v>
      </c>
      <c r="B20" s="8">
        <f>B19-B9</f>
        <v>8.0</v>
      </c>
      <c r="C20" s="8">
        <f>C19-C9</f>
        <v>6.3</v>
      </c>
      <c r="D20" s="3" t="s">
        <v>90</v>
      </c>
      <c r="E20" s="4">
        <f>新開度−現開度</f>
        <v>0</v>
      </c>
    </row>
    <row r="22" spans="1:5">
      <c r="A22" s="2" t="s">
        <v>105</v>
      </c>
    </row>
    <row r="23" spans="1:5">
      <c r="A23" s="5" t="s">
        <v>106</v>
      </c>
      <c r="B23" s="5" t="s">
        <v>81</v>
      </c>
      <c r="C23" s="5" t="s">
        <v>82</v>
      </c>
      <c r="D23" s="5" t="s">
        <v>107</v>
      </c>
    </row>
    <row r="24" spans="1:5">
      <c r="A24" s="3" t="s">
        <v>108</v>
      </c>
      <c r="B24" s="3" t="s">
        <v>109</v>
      </c>
      <c r="C24" s="3" t="s">
        <v>110</v>
      </c>
      <c r="D24" s="4" t="s">
        <v>111</v>
      </c>
    </row>
    <row r="25" spans="1:5">
      <c r="A25" s="3" t="s">
        <v>112</v>
      </c>
      <c r="B25" s="3" t="s">
        <v>113</v>
      </c>
      <c r="C25" s="3" t="s">
        <v>32</v>
      </c>
      <c r="D25" s="4" t="s">
        <v>114</v>
      </c>
    </row>
    <row r="26" spans="1:5">
      <c r="A26" s="3" t="s">
        <v>115</v>
      </c>
      <c r="B26" s="3" t="s">
        <v>116</v>
      </c>
      <c r="C26" s="3" t="s">
        <v>117</v>
      </c>
      <c r="D26" s="7" t="s">
        <v>118</v>
      </c>
    </row>
    <row r="28" spans="1:5">
      <c r="A28" s="2" t="s">
        <v>119</v>
      </c>
    </row>
    <row r="29" spans="1:5">
      <c r="A29" s="2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19.42578125" customWidth="1"/>
    <col min="2" max="2" width="13.42578125" customWidth="1"/>
    <col min="3" max="3" width="14.42578125" customWidth="1"/>
    <col min="4" max="4" width="31.42578125" customWidth="1"/>
    <col min="5" max="5" width="14.42578125" customWidth="1"/>
  </cols>
  <sheetData>
    <row r="1" spans="1:4">
      <c r="A1" s="1" t="s">
        <v>121</v>
      </c>
    </row>
    <row r="2" spans="1:4">
      <c r="A2" s="4" t="s">
        <v>122</v>
      </c>
    </row>
    <row r="4" spans="1:4">
      <c r="A4" s="2" t="s">
        <v>123</v>
      </c>
    </row>
    <row r="5" spans="1:4">
      <c r="A5" s="5" t="s">
        <v>124</v>
      </c>
      <c r="B5" s="5" t="s">
        <v>125</v>
      </c>
      <c r="C5" s="5" t="s">
        <v>126</v>
      </c>
      <c r="D5" s="5" t="s">
        <v>127</v>
      </c>
    </row>
    <row r="6" spans="1:4">
      <c r="A6" s="3" t="s">
        <v>128</v>
      </c>
      <c r="B6" s="3" t="s">
        <v>129</v>
      </c>
      <c r="C6" s="6">
        <v>-125.3</v>
      </c>
      <c r="D6" s="4" t="s">
        <v>130</v>
      </c>
    </row>
    <row r="7" spans="1:4">
      <c r="B7" s="3" t="s">
        <v>131</v>
      </c>
      <c r="C7" s="6">
        <v>8891</v>
      </c>
    </row>
    <row r="8" spans="1:4">
      <c r="B8" s="3" t="s">
        <v>132</v>
      </c>
      <c r="C8" s="6">
        <v>16.143</v>
      </c>
    </row>
    <row r="9" spans="1:4">
      <c r="A9" s="3" t="s">
        <v>133</v>
      </c>
      <c r="B9" s="3" t="s">
        <v>129</v>
      </c>
      <c r="C9" s="6">
        <v>0.83692</v>
      </c>
      <c r="D9" s="4" t="s">
        <v>134</v>
      </c>
    </row>
    <row r="10" spans="1:4">
      <c r="B10" s="3" t="s">
        <v>131</v>
      </c>
      <c r="C10" s="6">
        <v>0.26112</v>
      </c>
    </row>
    <row r="11" spans="1:4">
      <c r="B11" s="3" t="s">
        <v>132</v>
      </c>
      <c r="C11" s="6">
        <v>744.6</v>
      </c>
    </row>
    <row r="12" spans="1:4">
      <c r="B12" s="3" t="s">
        <v>135</v>
      </c>
      <c r="C12" s="6">
        <v>0.2422</v>
      </c>
    </row>
    <row r="13" spans="1:4">
      <c r="B13" s="3" t="s">
        <v>136</v>
      </c>
      <c r="C13" s="6">
        <v>106.122</v>
      </c>
      <c r="D13" s="4" t="s">
        <v>137</v>
      </c>
    </row>
    <row r="14" spans="1:4">
      <c r="A14" s="3" t="s">
        <v>138</v>
      </c>
      <c r="B14" s="3" t="s">
        <v>129</v>
      </c>
      <c r="C14" s="6">
        <v>74.55</v>
      </c>
      <c r="D14" s="4" t="s">
        <v>139</v>
      </c>
    </row>
    <row r="15" spans="1:4">
      <c r="B15" s="3" t="s">
        <v>131</v>
      </c>
      <c r="C15" s="6">
        <v>-10632</v>
      </c>
    </row>
    <row r="16" spans="1:4">
      <c r="B16" s="3" t="s">
        <v>140</v>
      </c>
      <c r="C16" s="6">
        <v>-6.8195</v>
      </c>
    </row>
    <row r="17" spans="1:7">
      <c r="B17" s="3" t="s">
        <v>141</v>
      </c>
      <c r="C17" s="6">
        <v>9.096799999999999E-18</v>
      </c>
    </row>
    <row r="18" spans="1:7">
      <c r="B18" s="3" t="s">
        <v>142</v>
      </c>
      <c r="C18" s="6">
        <v>6</v>
      </c>
    </row>
    <row r="20" spans="1:7">
      <c r="A20" s="3" t="s">
        <v>143</v>
      </c>
    </row>
    <row r="21" spans="1:7">
      <c r="A21" s="3" t="s">
        <v>144</v>
      </c>
      <c r="C21" s="6">
        <v>3.56</v>
      </c>
      <c r="D21" s="4" t="s">
        <v>145</v>
      </c>
    </row>
    <row r="22" spans="1:7">
      <c r="A22" s="3" t="s">
        <v>67</v>
      </c>
      <c r="C22" s="6">
        <v>117</v>
      </c>
      <c r="D22" s="4" t="s">
        <v>68</v>
      </c>
    </row>
    <row r="24" spans="1:7">
      <c r="A24" s="2" t="s">
        <v>146</v>
      </c>
    </row>
    <row r="25" spans="1:7">
      <c r="A25" s="5" t="s">
        <v>147</v>
      </c>
      <c r="B25" s="5" t="s">
        <v>148</v>
      </c>
      <c r="C25" s="5" t="s">
        <v>149</v>
      </c>
      <c r="D25" s="5" t="s">
        <v>150</v>
      </c>
      <c r="E25" s="5" t="s">
        <v>151</v>
      </c>
      <c r="F25" s="5" t="s">
        <v>152</v>
      </c>
      <c r="G25" s="5" t="s">
        <v>153</v>
      </c>
    </row>
    <row r="26" spans="1:7">
      <c r="A26" s="6">
        <v>0</v>
      </c>
      <c r="B26" s="3">
        <f>EXP($C$6+$C$7/(A26+273.15)+$C$8*LN(A26+273.15))*1000</f>
        <v>112.191</v>
      </c>
      <c r="C26" s="3">
        <f>$C$9/($C$10^(1+(1-((A26+273.15)/$C$11))^$C$12))*$C$13</f>
        <v>1132.0</v>
      </c>
      <c r="D26" s="3">
        <f>EXP($C$14+$C$15/(A26+273.15)+$C$16*LN(A26+273.15)+$C$17*(A26+273.15)^$C$18)/1000</f>
        <v>0.0</v>
      </c>
      <c r="E26" s="3">
        <f>$C$21*B26/$B$36</f>
        <v>343.1</v>
      </c>
      <c r="F26" s="3">
        <f>$C$22-E26</f>
        <v>-226.1</v>
      </c>
      <c r="G26" s="3">
        <f>$C$22</f>
        <v>117</v>
      </c>
    </row>
    <row r="27" spans="1:7">
      <c r="A27" s="6">
        <v>10</v>
      </c>
      <c r="B27" s="3">
        <f>EXP($C$6+$C$7/(A27+273.15)+$C$8*LN(A27+273.15))*1000</f>
        <v>63.502</v>
      </c>
      <c r="C27" s="3">
        <f>$C$9/($C$10^(1+(1-((A27+273.15)/$C$11))^$C$12))*$C$13</f>
        <v>1125.0</v>
      </c>
      <c r="D27" s="3">
        <f>EXP($C$14+$C$15/(A27+273.15)+$C$16*LN(A27+273.15)+$C$17*(A27+273.15)^$C$18)/1000</f>
        <v>0.0</v>
      </c>
      <c r="E27" s="3">
        <f>$C$21*B27/$B$36</f>
        <v>194.2</v>
      </c>
      <c r="F27" s="3">
        <f>$C$22-E27</f>
        <v>-77.2</v>
      </c>
      <c r="G27" s="3">
        <f>$C$22</f>
        <v>117</v>
      </c>
    </row>
    <row r="28" spans="1:7">
      <c r="A28" s="6">
        <v>20</v>
      </c>
      <c r="B28" s="3">
        <f>EXP($C$6+$C$7/(A28+273.15)+$C$8*LN(A28+273.15))*1000</f>
        <v>38.1</v>
      </c>
      <c r="C28" s="3">
        <f>$C$9/($C$10^(1+(1-((A28+273.15)/$C$11))^$C$12))*$C$13</f>
        <v>1118.0</v>
      </c>
      <c r="D28" s="3">
        <f>EXP($C$14+$C$15/(A28+273.15)+$C$16*LN(A28+273.15)+$C$17*(A28+273.15)^$C$18)/1000</f>
        <v>0.001</v>
      </c>
      <c r="E28" s="3">
        <f>$C$21*B28/$B$36</f>
        <v>116.5</v>
      </c>
      <c r="F28" s="9">
        <f>$C$22-E28</f>
        <v>0.5</v>
      </c>
      <c r="G28" s="3">
        <f>$C$22</f>
        <v>117</v>
      </c>
    </row>
    <row r="29" spans="1:7">
      <c r="A29" s="6">
        <v>25</v>
      </c>
      <c r="B29" s="3">
        <f>EXP($C$6+$C$7/(A29+273.15)+$C$8*LN(A29+273.15))*1000</f>
        <v>30.103</v>
      </c>
      <c r="C29" s="3">
        <f>$C$9/($C$10^(1+(1-((A29+273.15)/$C$11))^$C$12))*$C$13</f>
        <v>1114.0</v>
      </c>
      <c r="D29" s="3">
        <f>EXP($C$14+$C$15/(A29+273.15)+$C$16*LN(A29+273.15)+$C$17*(A29+273.15)^$C$18)/1000</f>
        <v>0.001</v>
      </c>
      <c r="E29" s="3">
        <f>$C$21*B29/$B$36</f>
        <v>92.1</v>
      </c>
      <c r="F29" s="9">
        <f>$C$22-E29</f>
        <v>24.9</v>
      </c>
      <c r="G29" s="3">
        <f>$C$22</f>
        <v>117</v>
      </c>
    </row>
    <row r="30" spans="1:7">
      <c r="A30" s="6">
        <v>30</v>
      </c>
      <c r="B30" s="3">
        <f>EXP($C$6+$C$7/(A30+273.15)+$C$8*LN(A30+273.15))*1000</f>
        <v>24.077</v>
      </c>
      <c r="C30" s="3">
        <f>$C$9/($C$10^(1+(1-((A30+273.15)/$C$11))^$C$12))*$C$13</f>
        <v>1110.0</v>
      </c>
      <c r="D30" s="3">
        <f>EXP($C$14+$C$15/(A30+273.15)+$C$16*LN(A30+273.15)+$C$17*(A30+273.15)^$C$18)/1000</f>
        <v>0.002</v>
      </c>
      <c r="E30" s="3">
        <f>$C$21*B30/$B$36</f>
        <v>73.6</v>
      </c>
      <c r="F30" s="3">
        <f>$C$22-E30</f>
        <v>43.4</v>
      </c>
      <c r="G30" s="3">
        <f>$C$22</f>
        <v>117</v>
      </c>
    </row>
    <row r="31" spans="1:7">
      <c r="A31" s="6">
        <v>40</v>
      </c>
      <c r="B31" s="3">
        <f>EXP($C$6+$C$7/(A31+273.15)+$C$8*LN(A31+273.15))*1000</f>
        <v>15.936</v>
      </c>
      <c r="C31" s="3">
        <f>$C$9/($C$10^(1+(1-((A31+273.15)/$C$11))^$C$12))*$C$13</f>
        <v>1103.0</v>
      </c>
      <c r="D31" s="3">
        <f>EXP($C$14+$C$15/(A31+273.15)+$C$16*LN(A31+273.15)+$C$17*(A31+273.15)^$C$18)/1000</f>
        <v>0.004</v>
      </c>
      <c r="E31" s="3">
        <f>$C$21*B31/$B$36</f>
        <v>48.7</v>
      </c>
      <c r="F31" s="3">
        <f>$C$22-E31</f>
        <v>68.3</v>
      </c>
      <c r="G31" s="3">
        <f>$C$22</f>
        <v>117</v>
      </c>
    </row>
    <row r="32" spans="1:7">
      <c r="A32" s="6">
        <v>50</v>
      </c>
      <c r="B32" s="3">
        <f>EXP($C$6+$C$7/(A32+273.15)+$C$8*LN(A32+273.15))*1000</f>
        <v>10.995</v>
      </c>
      <c r="C32" s="3">
        <f>$C$9/($C$10^(1+(1-((A32+273.15)/$C$11))^$C$12))*$C$13</f>
        <v>1096.0</v>
      </c>
      <c r="D32" s="3">
        <f>EXP($C$14+$C$15/(A32+273.15)+$C$16*LN(A32+273.15)+$C$17*(A32+273.15)^$C$18)/1000</f>
        <v>0.01</v>
      </c>
      <c r="E32" s="3">
        <f>$C$21*B32/$B$36</f>
        <v>33.6</v>
      </c>
      <c r="F32" s="3">
        <f>$C$22-E32</f>
        <v>83.4</v>
      </c>
      <c r="G32" s="3">
        <f>$C$22</f>
        <v>117</v>
      </c>
    </row>
    <row r="33" spans="1:7">
      <c r="A33" s="6">
        <v>70</v>
      </c>
      <c r="B33" s="3">
        <f>EXP($C$6+$C$7/(A33+273.15)+$C$8*LN(A33+273.15))*1000</f>
        <v>5.831</v>
      </c>
      <c r="C33" s="3">
        <f>$C$9/($C$10^(1+(1-((A33+273.15)/$C$11))^$C$12))*$C$13</f>
        <v>1081.0</v>
      </c>
      <c r="D33" s="3">
        <f>EXP($C$14+$C$15/(A33+273.15)+$C$16*LN(A33+273.15)+$C$17*(A33+273.15)^$C$18)/1000</f>
        <v>0.043</v>
      </c>
      <c r="E33" s="3">
        <f>$C$21*B33/$B$36</f>
        <v>17.8</v>
      </c>
      <c r="F33" s="3">
        <f>$C$22-E33</f>
        <v>99.2</v>
      </c>
      <c r="G33" s="3">
        <f>$C$22</f>
        <v>117</v>
      </c>
    </row>
    <row r="34" spans="1:7">
      <c r="A34" s="6">
        <v>100</v>
      </c>
      <c r="B34" s="3">
        <f>EXP($C$6+$C$7/(A34+273.15)+$C$8*LN(A34+273.15))*1000</f>
        <v>2.81</v>
      </c>
      <c r="C34" s="3">
        <f>$C$9/($C$10^(1+(1-((A34+273.15)/$C$11))^$C$12))*$C$13</f>
        <v>1058.0</v>
      </c>
      <c r="D34" s="3">
        <f>EXP($C$14+$C$15/(A34+273.15)+$C$16*LN(A34+273.15)+$C$17*(A34+273.15)^$C$18)/1000</f>
        <v>0.298</v>
      </c>
      <c r="E34" s="3">
        <f>$C$21*B34/$B$36</f>
        <v>8.6</v>
      </c>
      <c r="F34" s="3">
        <f>$C$22-E34</f>
        <v>108.4</v>
      </c>
      <c r="G34" s="3">
        <f>$C$22</f>
        <v>117</v>
      </c>
    </row>
    <row r="35" spans="1:7">
      <c r="A35" s="6">
        <v>130</v>
      </c>
      <c r="B35" s="3">
        <f>EXP($C$6+$C$7/(A35+273.15)+$C$8*LN(A35+273.15))*1000</f>
        <v>1.663</v>
      </c>
      <c r="C35" s="3">
        <f>$C$9/($C$10^(1+(1-((A35+273.15)/$C$11))^$C$12))*$C$13</f>
        <v>1034.0</v>
      </c>
      <c r="D35" s="3">
        <f>EXP($C$14+$C$15/(A35+273.15)+$C$16*LN(A35+273.15)+$C$17*(A35+273.15)^$C$18)/1000</f>
        <v>1.487</v>
      </c>
      <c r="E35" s="3">
        <f>$C$21*B35/$B$36</f>
        <v>5.1</v>
      </c>
      <c r="F35" s="3">
        <f>$C$22-E35</f>
        <v>111.9</v>
      </c>
      <c r="G35" s="3">
        <f>$C$22</f>
        <v>117</v>
      </c>
    </row>
    <row r="36" spans="1:7">
      <c r="A36" s="6">
        <v>158.8</v>
      </c>
      <c r="B36" s="3">
        <f>EXP($C$6+$C$7/(A36+273.15)+$C$8*LN(A36+273.15))*1000</f>
        <v>1.164</v>
      </c>
      <c r="C36" s="3">
        <f>$C$9/($C$10^(1+(1-((A36+273.15)/$C$11))^$C$12))*$C$13</f>
        <v>1010.0</v>
      </c>
      <c r="D36" s="3">
        <f>EXP($C$14+$C$15/(A36+273.15)+$C$16*LN(A36+273.15)+$C$17*(A36+273.15)^$C$18)/1000</f>
        <v>5.499</v>
      </c>
      <c r="E36" s="3">
        <f>$C$21*B36/$B$36</f>
        <v>3.6</v>
      </c>
      <c r="F36" s="3">
        <f>$C$22-E36</f>
        <v>113.4</v>
      </c>
      <c r="G36" s="3">
        <f>$C$22</f>
        <v>117</v>
      </c>
    </row>
    <row r="38" spans="1:7">
      <c r="A38" s="4" t="s">
        <v>154</v>
      </c>
    </row>
    <row r="40" spans="1:7">
      <c r="A40" s="2" t="s">
        <v>155</v>
      </c>
    </row>
    <row r="41" spans="1:7">
      <c r="A41" s="2" t="s">
        <v>156</v>
      </c>
    </row>
    <row r="42" spans="1:7">
      <c r="A42" s="2" t="s">
        <v>157</v>
      </c>
    </row>
    <row r="43" spans="1:7">
      <c r="A43" s="10" t="s">
        <v>158</v>
      </c>
    </row>
    <row r="44" spans="1:7">
      <c r="A44" s="2" t="s">
        <v>159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1" width="30.7109375" customWidth="1"/>
    <col min="2" max="2" width="13.7109375" customWidth="1"/>
    <col min="3" max="3" width="8.7109375" customWidth="1"/>
    <col min="4" max="4" width="52.7109375" customWidth="1"/>
  </cols>
  <sheetData>
    <row r="1" spans="1:4">
      <c r="A1" s="11" t="s">
        <v>162</v>
      </c>
    </row>
    <row r="2" spans="1:4" ht="70" customHeight="1">
      <c r="A2" s="12" t="s">
        <v>163</v>
      </c>
      <c r="B2" s="12"/>
      <c r="C2" s="12"/>
      <c r="D2" s="12"/>
    </row>
    <row r="4" spans="1:4">
      <c r="A4" s="13" t="s">
        <v>164</v>
      </c>
    </row>
    <row r="5" spans="1:4">
      <c r="A5" s="14" t="s">
        <v>12</v>
      </c>
      <c r="B5" s="14" t="s">
        <v>165</v>
      </c>
      <c r="C5" s="14" t="s">
        <v>14</v>
      </c>
      <c r="D5" s="14" t="s">
        <v>15</v>
      </c>
    </row>
    <row r="6" spans="1:4">
      <c r="A6" s="15" t="s">
        <v>166</v>
      </c>
      <c r="B6" s="16">
        <v>90</v>
      </c>
      <c r="C6" s="15" t="s">
        <v>167</v>
      </c>
      <c r="D6" s="15" t="s">
        <v>168</v>
      </c>
    </row>
    <row r="7" spans="1:4">
      <c r="A7" s="15" t="s">
        <v>169</v>
      </c>
      <c r="B7" s="16">
        <v>200</v>
      </c>
      <c r="C7" s="15" t="s">
        <v>49</v>
      </c>
      <c r="D7" s="15" t="s">
        <v>170</v>
      </c>
    </row>
    <row r="8" spans="1:4">
      <c r="A8" s="15" t="s">
        <v>171</v>
      </c>
      <c r="B8" s="16">
        <v>5</v>
      </c>
      <c r="C8" s="15" t="s">
        <v>53</v>
      </c>
      <c r="D8" s="15" t="s">
        <v>172</v>
      </c>
    </row>
    <row r="9" spans="1:4">
      <c r="A9" s="15" t="s">
        <v>173</v>
      </c>
      <c r="B9" s="16" t="s">
        <v>174</v>
      </c>
      <c r="C9" s="15" t="s">
        <v>32</v>
      </c>
      <c r="D9" s="15" t="s">
        <v>175</v>
      </c>
    </row>
    <row r="11" spans="1:4">
      <c r="A11" s="13" t="s">
        <v>176</v>
      </c>
    </row>
    <row r="12" spans="1:4">
      <c r="A12" s="14" t="s">
        <v>12</v>
      </c>
      <c r="B12" s="14" t="s">
        <v>165</v>
      </c>
      <c r="C12" s="14" t="s">
        <v>14</v>
      </c>
      <c r="D12" s="14" t="s">
        <v>30</v>
      </c>
    </row>
    <row r="13" spans="1:4">
      <c r="A13" s="15" t="s">
        <v>177</v>
      </c>
      <c r="B13" s="15">
        <f>'②ストレーナ'!B18</f>
        <v>101.3</v>
      </c>
      <c r="C13" s="15" t="s">
        <v>49</v>
      </c>
      <c r="D13" s="15" t="s">
        <v>178</v>
      </c>
    </row>
    <row r="14" spans="1:4">
      <c r="A14" s="15" t="s">
        <v>179</v>
      </c>
      <c r="B14" s="15">
        <f>'②ストレーナ'!B23</f>
        <v>2.33</v>
      </c>
      <c r="C14" s="15" t="s">
        <v>53</v>
      </c>
      <c r="D14" s="15" t="s">
        <v>180</v>
      </c>
    </row>
    <row r="16" spans="1:4">
      <c r="A16" s="13" t="s">
        <v>181</v>
      </c>
    </row>
    <row r="17" spans="1:4">
      <c r="A17" s="14" t="s">
        <v>12</v>
      </c>
      <c r="B17" s="14" t="s">
        <v>13</v>
      </c>
      <c r="C17" s="14" t="s">
        <v>14</v>
      </c>
      <c r="D17" s="14" t="s">
        <v>182</v>
      </c>
    </row>
    <row r="18" spans="1:4">
      <c r="A18" s="15" t="s">
        <v>183</v>
      </c>
      <c r="B18" s="15">
        <f>B13/B7</f>
        <v>0.5065</v>
      </c>
      <c r="C18" s="15" t="s">
        <v>32</v>
      </c>
      <c r="D18" s="15">
        <f>A_us/A_ref（大きいほど長持ち）</f>
        <v>0</v>
      </c>
    </row>
    <row r="19" spans="1:4">
      <c r="A19" s="15" t="s">
        <v>184</v>
      </c>
      <c r="B19" s="15">
        <f>B8/B14</f>
        <v>2.1459</v>
      </c>
      <c r="C19" s="15" t="s">
        <v>32</v>
      </c>
      <c r="D19" s="15">
        <f>Q_ref/Q_us（当方が低流量なら長持ち）</f>
        <v>0</v>
      </c>
    </row>
    <row r="20" spans="1:4">
      <c r="A20" s="15" t="s">
        <v>185</v>
      </c>
      <c r="B20" s="17">
        <v>1</v>
      </c>
      <c r="C20" s="15" t="s">
        <v>32</v>
      </c>
      <c r="D20" s="15" t="s">
        <v>186</v>
      </c>
    </row>
    <row r="21" spans="1:4">
      <c r="A21" s="15" t="s">
        <v>187</v>
      </c>
      <c r="B21" s="18">
        <f>B6*B18</f>
        <v>45.6</v>
      </c>
      <c r="C21" s="15" t="s">
        <v>167</v>
      </c>
      <c r="D21" s="15">
        <f>T_ref×面積比（最も単純な換算）</f>
        <v>0</v>
      </c>
    </row>
    <row r="22" spans="1:4">
      <c r="A22" s="15" t="s">
        <v>188</v>
      </c>
      <c r="B22" s="18">
        <f>B6*B18*B19*B20</f>
        <v>97.8</v>
      </c>
      <c r="C22" s="15" t="s">
        <v>167</v>
      </c>
      <c r="D22" s="15">
        <f>T_ref×面積比×流量比×濃度比（t∝面積/(流量×濃度)）</f>
        <v>0</v>
      </c>
    </row>
    <row r="23" spans="1:4">
      <c r="A23" s="15" t="s">
        <v>189</v>
      </c>
      <c r="B23" s="18">
        <f>B22*0.5</f>
        <v>48.9</v>
      </c>
      <c r="C23" s="15" t="s">
        <v>167</v>
      </c>
      <c r="D23" s="15" t="s">
        <v>190</v>
      </c>
    </row>
    <row r="25" spans="1:4">
      <c r="A25" s="13" t="s">
        <v>191</v>
      </c>
    </row>
    <row r="26" spans="1:4">
      <c r="A26" s="14" t="s">
        <v>192</v>
      </c>
      <c r="B26" s="14" t="s">
        <v>193</v>
      </c>
      <c r="C26" s="14" t="s">
        <v>194</v>
      </c>
      <c r="D26" s="14" t="s">
        <v>195</v>
      </c>
    </row>
    <row r="27" spans="1:4">
      <c r="A27" s="17">
        <v>50</v>
      </c>
      <c r="B27" s="15">
        <f>B13/A27</f>
        <v>2.026</v>
      </c>
      <c r="C27" s="15">
        <f>B6*B27*B19*B20</f>
        <v>391.3</v>
      </c>
      <c r="D27" s="15" t="s">
        <v>196</v>
      </c>
    </row>
    <row r="28" spans="1:4">
      <c r="A28" s="17">
        <v>100</v>
      </c>
      <c r="B28" s="15">
        <f>B13/A28</f>
        <v>1.013</v>
      </c>
      <c r="C28" s="15">
        <f>B6*B28*B19*B20</f>
        <v>195.6</v>
      </c>
      <c r="D28" s="15" t="s">
        <v>196</v>
      </c>
    </row>
    <row r="29" spans="1:4">
      <c r="A29" s="17">
        <v>200</v>
      </c>
      <c r="B29" s="15">
        <f>B13/A29</f>
        <v>0.506</v>
      </c>
      <c r="C29" s="15">
        <f>B6*B29*B19*B20</f>
        <v>97.8</v>
      </c>
      <c r="D29" s="15" t="s">
        <v>196</v>
      </c>
    </row>
    <row r="30" spans="1:4">
      <c r="A30" s="17">
        <v>300</v>
      </c>
      <c r="B30" s="15">
        <f>B13/A30</f>
        <v>0.338</v>
      </c>
      <c r="C30" s="15">
        <f>B6*B30*B19*B20</f>
        <v>65.2</v>
      </c>
      <c r="D30" s="15" t="s">
        <v>196</v>
      </c>
    </row>
    <row r="31" spans="1:4">
      <c r="A31" s="17">
        <v>500</v>
      </c>
      <c r="B31" s="15">
        <f>B13/A31</f>
        <v>0.203</v>
      </c>
      <c r="C31" s="15">
        <f>B6*B31*B19*B20</f>
        <v>39.1</v>
      </c>
      <c r="D31" s="15" t="s">
        <v>196</v>
      </c>
    </row>
    <row r="33" spans="1:4" ht="56" customHeight="1">
      <c r="A33" s="19" t="s">
        <v>197</v>
      </c>
      <c r="B33" s="19"/>
      <c r="C33" s="19"/>
      <c r="D33" s="19"/>
    </row>
  </sheetData>
  <mergeCells count="2">
    <mergeCell ref="A2:D2"/>
    <mergeCell ref="A33:D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0_読み方</vt:lpstr>
      <vt:lpstr>①NPSH</vt:lpstr>
      <vt:lpstr>②ストレーナ</vt:lpstr>
      <vt:lpstr>③CV監視(両弁)</vt:lpstr>
      <vt:lpstr>④物性(Aspen)</vt:lpstr>
      <vt:lpstr>⑤清掃周期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2026-06-22T23:00:17Z</dcterms:created>
  <dcterms:modified xsi:type="dcterms:W3CDTF">2026-06-22T23:00:17Z</dcterms:modified>
</cp:coreProperties>
</file>